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3.xml"/>
  <Override ContentType="application/vnd.openxmlformats-officedocument.spreadsheetml.table+xml" PartName="/xl/tables/table4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spreadsheetml.table+xml" PartName="/xl/tables/table7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ml.chart+xml" PartName="/xl/charts/chart7.xml"/>
  <Override ContentType="application/vnd.ms-office.chartstyle+xml" PartName="/xl/charts/style7.xml"/>
  <Override ContentType="application/vnd.ms-office.chartcolorstyle+xml" PartName="/xl/charts/colors7.xml"/>
  <Override ContentType="application/vnd.openxmlformats-officedocument.drawing+xml" PartName="/xl/drawings/drawing2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table+xml" PartName="/xl/tables/table10.xml"/>
  <Override ContentType="application/vnd.openxmlformats-officedocument.spreadsheetml.table+xml" PartName="/xl/tables/table11.xml"/>
  <Override ContentType="application/vnd.openxmlformats-officedocument.drawingml.chart+xml" PartName="/xl/charts/chart8.xml"/>
  <Override ContentType="application/vnd.ms-office.chartstyle+xml" PartName="/xl/charts/style8.xml"/>
  <Override ContentType="application/vnd.ms-office.chartcolorstyle+xml" PartName="/xl/charts/colors8.xml"/>
  <Override ContentType="application/vnd.openxmlformats-officedocument.drawingml.chart+xml" PartName="/xl/charts/chart9.xml"/>
  <Override ContentType="application/vnd.ms-office.chartstyle+xml" PartName="/xl/charts/style9.xml"/>
  <Override ContentType="application/vnd.ms-office.chartcolorstyle+xml" PartName="/xl/charts/colors9.xml"/>
  <Override ContentType="application/vnd.openxmlformats-officedocument.drawingml.chart+xml" PartName="/xl/charts/chart10.xml"/>
  <Override ContentType="application/vnd.ms-office.chartstyle+xml" PartName="/xl/charts/style10.xml"/>
  <Override ContentType="application/vnd.ms-office.chartcolorstyle+xml" PartName="/xl/charts/colors10.xml"/>
  <Override ContentType="application/vnd.openxmlformats-officedocument.drawingml.chart+xml" PartName="/xl/charts/chart11.xml"/>
  <Override ContentType="application/vnd.ms-office.chartstyle+xml" PartName="/xl/charts/style11.xml"/>
  <Override ContentType="application/vnd.ms-office.chartcolorstyle+xml" PartName="/xl/charts/colors11.xml"/>
  <Override ContentType="application/vnd.openxmlformats-officedocument.spreadsheetml.sharedStrings+xml" PartName="/xl/sharedStrings.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sw.sharepoint.com/sites/AustralianCareCascades/Shared Documents/HIV/output/ASR_2023/ECDC_models/All-2022/exposure_exclude/results/"/>
    </mc:Choice>
  </mc:AlternateContent>
  <xr:revisionPtr revIDLastSave="1" documentId="11_79A18DD4F90A76E18F97B0B0F6C1489768AE4DC5" xr6:coauthVersionLast="47" xr6:coauthVersionMax="47" xr10:uidLastSave="{3964B716-928F-4FDC-BE1C-893972CB30FF}"/>
  <bookViews>
    <workbookView xWindow="-108" yWindow="-108" windowWidth="23256" windowHeight="12576" activeTab="1" xr2:uid="{00000000-000D-0000-FFFF-FFFF00000000}"/>
  </bookViews>
  <sheets>
    <sheet name="GOODNESS OF FIT" sheetId="2" r:id="rId1"/>
    <sheet name="CHARTS" sheetId="15" r:id="rId2"/>
    <sheet name="DATA" sheetId="14" r:id="rId3"/>
    <sheet name="META INFO" sheetId="16" r:id="rId4"/>
  </sheets>
  <definedNames>
    <definedName name="rngColumnNames">INDEX(rngData,1,0)</definedName>
    <definedName name="rngData">'DATA'!$A$1:$CC$100</definedName>
    <definedName name="rngYear">INDEX(rngData,0,1)</definedName>
  </definedNames>
  <calcPr calcId="191029" forceFullCalc="1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<sst xmlns="http://schemas.openxmlformats.org/spreadsheetml/2006/main" count="102" uniqueCount="102">
  <si>
    <t>A. HIV diagnoses, total</t>
  </si>
  <si>
    <t>Data</t>
  </si>
  <si>
    <t>Mean</t>
  </si>
  <si>
    <t>Min-max</t>
  </si>
  <si>
    <t>Idx</t>
  </si>
  <si>
    <t>year</t>
  </si>
  <si>
    <t>N_HIV_D</t>
  </si>
  <si>
    <t>N_HIV_Obs_M</t>
  </si>
  <si>
    <t>N_HIV_Obs_M_LB</t>
  </si>
  <si>
    <t>N_HIV_Obs_M_UB</t>
  </si>
  <si>
    <t>B. HIV diagnoses, CD4 &gt;= 500</t>
  </si>
  <si>
    <t>N_CD4_1_D</t>
  </si>
  <si>
    <t>N_CD4_1_Obs_M</t>
  </si>
  <si>
    <t>N_CD4_1_Obs_M_LB</t>
  </si>
  <si>
    <t>N_CD4_1_Obs_M_UB</t>
  </si>
  <si>
    <t>C. HIV diagnoses, CD4 350 - 499</t>
  </si>
  <si>
    <t>N_CD4_2_D</t>
  </si>
  <si>
    <t>N_CD4_2_Obs_M</t>
  </si>
  <si>
    <t>N_CD4_2_Obs_M_LB</t>
  </si>
  <si>
    <t>N_CD4_2_Obs_M_UB</t>
  </si>
  <si>
    <t>D. HIV diagnoses, CD4 200 - 349</t>
  </si>
  <si>
    <t>N_CD4_3_D</t>
  </si>
  <si>
    <t>N_CD4_3_Obs_M</t>
  </si>
  <si>
    <t>N_CD4_3_Obs_M_LB</t>
  </si>
  <si>
    <t>N_CD4_3_Obs_M_UB</t>
  </si>
  <si>
    <t>E. HIV diagnoses, CD4 &lt; 200</t>
  </si>
  <si>
    <t>N_CD4_4_D</t>
  </si>
  <si>
    <t>N_CD4_4_Obs_M</t>
  </si>
  <si>
    <t>N_CD4_4_Obs_M_LB</t>
  </si>
  <si>
    <t>N_CD4_4_Obs_M_UB</t>
  </si>
  <si>
    <t>F. HIV/AIDS diagnoses</t>
  </si>
  <si>
    <t>N_HIVAIDS_D</t>
  </si>
  <si>
    <t>N_HIVAIDS_Obs_M</t>
  </si>
  <si>
    <t>N_HIVAIDS_Obs_M_LB</t>
  </si>
  <si>
    <t>N_HIVAIDS_Obs_M_UB</t>
  </si>
  <si>
    <t>G. AIDS diagnoses, total</t>
  </si>
  <si>
    <t>N_AIDS_D</t>
  </si>
  <si>
    <t>N_AIDS_M</t>
  </si>
  <si>
    <t>N_AIDS_M_LB</t>
  </si>
  <si>
    <t>N_AIDS_M_UB</t>
  </si>
  <si>
    <t>A. HIV infections per year</t>
  </si>
  <si>
    <t>N_Inf_M</t>
  </si>
  <si>
    <t>N_Inf_M_LB</t>
  </si>
  <si>
    <t>N_Inf_M_UB</t>
  </si>
  <si>
    <t>B. Time to diagnosis</t>
  </si>
  <si>
    <t>t_diag</t>
  </si>
  <si>
    <t>t_diag_LB</t>
  </si>
  <si>
    <t>t_diag_UB</t>
  </si>
  <si>
    <t>C. Total number of HIV-infected</t>
  </si>
  <si>
    <t>Diagnosed Mean</t>
  </si>
  <si>
    <t>Diagnosed Min-max</t>
  </si>
  <si>
    <t>Undiagnosed Mean</t>
  </si>
  <si>
    <t>Undiagnosed Min-max</t>
  </si>
  <si>
    <t>N_Alive</t>
  </si>
  <si>
    <t>N_Alive_LB</t>
  </si>
  <si>
    <t>N_Alive_UB</t>
  </si>
  <si>
    <t>Alive Min-max</t>
  </si>
  <si>
    <t>N_Alive_Diag_M</t>
  </si>
  <si>
    <t>N_Alive_Diag_M_LB</t>
  </si>
  <si>
    <t>N_Alive_Diag_M_UB</t>
  </si>
  <si>
    <t>Diag Min-max</t>
  </si>
  <si>
    <t>N_Und</t>
  </si>
  <si>
    <t>N_Und_LB</t>
  </si>
  <si>
    <t>N_Und_UB</t>
  </si>
  <si>
    <t>Undiag Min-max</t>
  </si>
  <si>
    <t>D. Proportion undiagnosed of all those alive</t>
  </si>
  <si>
    <t>N_Und_Alive_p</t>
  </si>
  <si>
    <t>N_Und_Alive_p_LB</t>
  </si>
  <si>
    <t>N_Und_Alive_p_UB</t>
  </si>
  <si>
    <t>t_diag_p50</t>
  </si>
  <si>
    <t>t_diag_p25</t>
  </si>
  <si>
    <t>t_diag_p75</t>
  </si>
  <si>
    <t>D_Avg_Time</t>
  </si>
  <si>
    <t>N_Und_CD4_3_M</t>
  </si>
  <si>
    <t>N_Und_CD4_4_M</t>
  </si>
  <si>
    <t>N_Und_CD4_3p4_M</t>
  </si>
  <si>
    <t>delta1_LB</t>
  </si>
  <si>
    <t>delta1_UB</t>
  </si>
  <si>
    <t>delta2_LB</t>
  </si>
  <si>
    <t>delta2_UB</t>
  </si>
  <si>
    <t>delta3_LB</t>
  </si>
  <si>
    <t>delta3_UB</t>
  </si>
  <si>
    <t>delta4_LB</t>
  </si>
  <si>
    <t>delta4_UB</t>
  </si>
  <si>
    <t>t_diag_p50_LB</t>
  </si>
  <si>
    <t>t_diag_p50_UB</t>
  </si>
  <si>
    <t>t_diag_p25_LB</t>
  </si>
  <si>
    <t>t_diag_p25_UB</t>
  </si>
  <si>
    <t>t_diag_p75_LB</t>
  </si>
  <si>
    <t>t_diag_p75_UB</t>
  </si>
  <si>
    <t>D_Avg_Time_LB</t>
  </si>
  <si>
    <t>D_Avg_Time_UB</t>
  </si>
  <si>
    <t>N_Und_CD4_3_M_LB</t>
  </si>
  <si>
    <t>N_Und_CD4_3_M_UB</t>
  </si>
  <si>
    <t>N_Und_CD4_4_M_LB</t>
  </si>
  <si>
    <t>N_Und_CD4_4_M_UB</t>
  </si>
  <si>
    <t>N_Und_CD4_3p4_M_LB</t>
  </si>
  <si>
    <t>N_Und_CD4_3p4_M_UB</t>
  </si>
  <si>
    <t>Tool version</t>
  </si>
  <si>
    <t>ECDC HIV Modelling Tool v.1.3.0</t>
  </si>
  <si>
    <t>Exported on</t>
  </si>
  <si>
    <t>2023/11/22 18:33:50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</si>
</sst>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9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8"/>
      <color theme="0" tint="-0.34998626667073579"/>
      <name val="Arial"/>
      <family val="2"/>
    </font>
    <font>
      <b/>
      <sz val="8"/>
      <color theme="0" tint="-0.34998626667073579"/>
      <name val="Arial"/>
      <family val="2"/>
    </font>
    <font>
      <sz val="8"/>
      <color rgb="FF000000"/>
      <name val="Arial"/>
      <family val="2"/>
    </font>
    <font>
      <b/>
      <sz val="15"/>
      <color theme="0" tint="-0.34998626667073579"/>
      <name val="Calibri"/>
      <family val="2"/>
    </font>
    <font>
      <b/>
      <sz val="15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6"/>
      </patternFill>
    </fill>
    <fill>
      <patternFill patternType="solid">
        <fgColor rgb="FF7BBCC0"/>
        <bgColor theme="6"/>
      </patternFill>
    </fill>
    <fill>
      <patternFill patternType="solid">
        <fgColor rgb="FF9D8B56"/>
        <bgColor theme="6"/>
      </patternFill>
    </fill>
    <fill>
      <patternFill patternType="solid">
        <fgColor rgb="FF69B023"/>
        <bgColor theme="6"/>
      </patternFill>
    </fill>
    <fill>
      <patternFill patternType="none"/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26">
    <xf numFmtId="0" applyNumberFormat="1" fontId="0" applyFont="1" fillId="0" applyFill="1" borderId="0" applyBorder="1" xfId="0"/>
    <xf numFmtId="0" applyNumberFormat="1" fontId="1" applyFont="1" fillId="2" applyFill="1" borderId="0" applyBorder="1" xfId="0"/>
    <xf numFmtId="0" applyNumberFormat="1" fontId="7" applyFont="1" fillId="2" applyFill="1" borderId="0" applyBorder="1" xfId="0">
      <alignment horizontal="left"/>
    </xf>
    <xf numFmtId="0" applyNumberFormat="1" fontId="1" applyFont="1" fillId="2" applyFill="1" borderId="0" applyBorder="1" xfId="0">
      <alignment horizontal="left"/>
    </xf>
    <xf numFmtId="0" applyNumberFormat="1" fontId="3" applyFont="1" fillId="3" applyFill="1" borderId="1" applyBorder="1" xfId="0">
      <alignment horizontal="center" vertical="center" wrapText="1"/>
    </xf>
    <xf numFmtId="0" applyNumberFormat="1" fontId="3" applyFont="1" fillId="6" applyFill="1" borderId="1" applyBorder="1" xfId="0">
      <alignment horizontal="center" vertical="center" wrapText="1"/>
    </xf>
    <xf numFmtId="0" applyNumberFormat="1" fontId="5" applyFont="1" fillId="2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right" vertical="center" wrapText="1" indent="2"/>
    </xf>
    <xf numFmtId="4" applyNumberFormat="1" fontId="2" applyFont="1" fillId="7" applyFill="1" borderId="0" applyBorder="1" xfId="0">
      <alignment horizontal="right" vertical="center" wrapText="1" indent="2"/>
    </xf>
    <xf numFmtId="0" applyNumberFormat="1" fontId="4" applyFont="1" fillId="2" applyFill="1" borderId="0" applyBorder="1" xfId="0"/>
    <xf numFmtId="0" applyNumberFormat="1" fontId="1" applyFont="1" fillId="7" applyFill="1" borderId="0" applyBorder="1" xfId="0"/>
    <xf numFmtId="4" applyNumberFormat="1" fontId="1" applyFont="1" fillId="7" applyFill="1" borderId="0" applyBorder="1" xfId="0"/>
    <xf numFmtId="4" applyNumberFormat="1" fontId="1" applyFont="1" fillId="2" applyFill="1" borderId="0" applyBorder="1" xfId="0"/>
    <xf numFmtId="0" applyNumberFormat="1" fontId="3" applyFont="1" fillId="5" applyFill="1" borderId="1" applyBorder="1" xfId="0">
      <alignment horizontal="center" vertical="center" wrapText="1"/>
    </xf>
    <xf numFmtId="0" applyNumberFormat="1" fontId="3" applyFont="1" fillId="4" applyFill="1" borderId="1" applyBorder="1" xfId="0">
      <alignment horizontal="center" vertical="center" wrapText="1"/>
    </xf>
    <xf numFmtId="4" applyNumberFormat="1" fontId="6" applyFont="1" fillId="7" applyFill="1" borderId="0" applyBorder="1" xfId="0"/>
    <xf numFmtId="0" applyNumberFormat="1" fontId="8" applyFont="1" fillId="2" applyFill="1" borderId="0" applyBorder="1" xfId="0">
      <alignment horizontal="left"/>
    </xf>
    <xf numFmtId="0" applyNumberFormat="1" fontId="3" applyFont="1" fillId="6" applyFill="1" borderId="3" applyBorder="1" xfId="0">
      <alignment horizontal="center" vertical="center" wrapText="1"/>
    </xf>
    <xf numFmtId="0" applyNumberFormat="1" fontId="3" applyFont="1" fillId="6" applyFill="1" borderId="4" applyBorder="1" xfId="0">
      <alignment horizontal="center" vertical="center" wrapText="1"/>
    </xf>
    <xf numFmtId="0" applyNumberFormat="1" fontId="3" applyFont="1" fillId="6" applyFill="1" borderId="2" applyBorder="1" xfId="0">
      <alignment horizontal="center" vertical="center" wrapText="1"/>
    </xf>
    <xf numFmtId="0" applyNumberFormat="1" fontId="3" applyFont="1" fillId="4" applyFill="1" borderId="3" applyBorder="1" xfId="0">
      <alignment horizontal="center" vertical="center" wrapText="1"/>
    </xf>
    <xf numFmtId="0" applyNumberFormat="1" fontId="3" applyFont="1" fillId="4" applyFill="1" borderId="4" applyBorder="1" xfId="0">
      <alignment horizontal="center" vertical="center" wrapText="1"/>
    </xf>
    <xf numFmtId="0" applyNumberFormat="1" fontId="3" applyFont="1" fillId="4" applyFill="1" borderId="2" applyBorder="1" xfId="0">
      <alignment horizontal="center" vertical="center" wrapText="1"/>
    </xf>
    <xf numFmtId="0" applyNumberFormat="1" fontId="3" applyFont="1" fillId="5" applyFill="1" borderId="3" applyBorder="1" xfId="0">
      <alignment horizontal="center" vertical="center" wrapText="1"/>
    </xf>
    <xf numFmtId="0" applyNumberFormat="1" fontId="3" applyFont="1" fillId="5" applyFill="1" borderId="4" applyBorder="1" xfId="0">
      <alignment horizontal="center" vertical="center" wrapText="1"/>
    </xf>
    <xf numFmtId="0" applyNumberFormat="1" fontId="3" applyFont="1" fillId="5" applyFill="1" borderId="2" applyBorder="1" xfId="0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7BBCC0"/>
      <color rgb="FF9D8B56"/>
      <color rgb="FF69B0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FIT'!$E$7:$E$44</c:f>
              <c:numCache>
                <c:formatCode>#,##0.00</c:formatCode>
                <c:ptCount val="33"/>
                <c:pt idx="0">
                  <c:v>0.49914700000000001</c:v>
                </c:pt>
                <c:pt idx="1">
                  <c:v>6.3487850000000003</c:v>
                </c:pt>
                <c:pt idx="2">
                  <c:v>22.782589000000002</c:v>
                </c:pt>
                <c:pt idx="3">
                  <c:v>51.938079999999999</c:v>
                </c:pt>
                <c:pt idx="4">
                  <c:v>518.67636700000003</c:v>
                </c:pt>
                <c:pt idx="5">
                  <c:v>681.90844700000002</c:v>
                </c:pt>
                <c:pt idx="6">
                  <c:v>870.65639199999998</c:v>
                </c:pt>
                <c:pt idx="7">
                  <c:v>1043.8154219999999</c:v>
                </c:pt>
                <c:pt idx="8">
                  <c:v>1186.8743280000001</c:v>
                </c:pt>
                <c:pt idx="9">
                  <c:v>1280.103114</c:v>
                </c:pt>
                <c:pt idx="10">
                  <c:v>1319.284629</c:v>
                </c:pt>
                <c:pt idx="11">
                  <c:v>1314.3454650000001</c:v>
                </c:pt>
                <c:pt idx="12">
                  <c:v>1269.6848230000001</c:v>
                </c:pt>
                <c:pt idx="13">
                  <c:v>1192.8355329999999</c:v>
                </c:pt>
                <c:pt idx="14">
                  <c:v>1082.3859460000001</c:v>
                </c:pt>
                <c:pt idx="15">
                  <c:v>975.73437200000001</c:v>
                </c:pt>
                <c:pt idx="16">
                  <c:v>876.84577400000001</c:v>
                </c:pt>
                <c:pt idx="17">
                  <c:v>796.00398499999994</c:v>
                </c:pt>
                <c:pt idx="18">
                  <c:v>736.10159599999997</c:v>
                </c:pt>
                <c:pt idx="19">
                  <c:v>696.54603499999996</c:v>
                </c:pt>
                <c:pt idx="20">
                  <c:v>675.15825700000005</c:v>
                </c:pt>
                <c:pt idx="21">
                  <c:v>674.46122700000001</c:v>
                </c:pt>
                <c:pt idx="22">
                  <c:v>690.97995900000001</c:v>
                </c:pt>
                <c:pt idx="23">
                  <c:v>718.07297500000004</c:v>
                </c:pt>
                <c:pt idx="24">
                  <c:v>752.28531599999997</c:v>
                </c:pt>
                <c:pt idx="25">
                  <c:v>793.10194000000001</c:v>
                </c:pt>
                <c:pt idx="26">
                  <c:v>840.45354999999995</c:v>
                </c:pt>
                <c:pt idx="27">
                  <c:v>889.23990200000003</c:v>
                </c:pt>
                <c:pt idx="28">
                  <c:v>934.60238600000002</c:v>
                </c:pt>
                <c:pt idx="29">
                  <c:v>973.585646</c:v>
                </c:pt>
                <c:pt idx="30">
                  <c:v>1003.702587</c:v>
                </c:pt>
                <c:pt idx="31">
                  <c:v>1024.9407839999999</c:v>
                </c:pt>
                <c:pt idx="32">
                  <c:v>1021.559674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1-4241-B6BF-8C9B62565E47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FIT'!$G$7:$G$66</c:f>
              <c:numCache>
                <c:formatCode>#,##0.00</c:formatCode>
                <c:ptCount val="33"/>
                <c:pt idx="0">
                  <c:v>2.7737000000000012E-2</c:v>
                </c:pt>
                <c:pt idx="1">
                  <c:v>0.34557699999999958</c:v>
                </c:pt>
                <c:pt idx="2">
                  <c:v>1.2040979999999983</c:v>
                </c:pt>
                <c:pt idx="3">
                  <c:v>2.6721730000000008</c:v>
                </c:pt>
                <c:pt idx="4">
                  <c:v>86.04994099999999</c:v>
                </c:pt>
                <c:pt idx="5">
                  <c:v>84.350321000000008</c:v>
                </c:pt>
                <c:pt idx="6">
                  <c:v>80.342173000000003</c:v>
                </c:pt>
                <c:pt idx="7">
                  <c:v>80.934311000000207</c:v>
                </c:pt>
                <c:pt idx="8">
                  <c:v>78.943211999999903</c:v>
                </c:pt>
                <c:pt idx="9">
                  <c:v>76.784323000000086</c:v>
                </c:pt>
                <c:pt idx="10">
                  <c:v>80.64730499999996</c:v>
                </c:pt>
                <c:pt idx="11">
                  <c:v>78.72294399999987</c:v>
                </c:pt>
                <c:pt idx="12">
                  <c:v>70.47883499999989</c:v>
                </c:pt>
                <c:pt idx="13">
                  <c:v>47.229610999999977</c:v>
                </c:pt>
                <c:pt idx="14">
                  <c:v>49.599986999999828</c:v>
                </c:pt>
                <c:pt idx="15">
                  <c:v>47.296553000000017</c:v>
                </c:pt>
                <c:pt idx="16">
                  <c:v>49.373760999999945</c:v>
                </c:pt>
                <c:pt idx="17">
                  <c:v>49.093095000000062</c:v>
                </c:pt>
                <c:pt idx="18">
                  <c:v>43.843045000000075</c:v>
                </c:pt>
                <c:pt idx="19">
                  <c:v>39.920499000000063</c:v>
                </c:pt>
                <c:pt idx="20">
                  <c:v>39.47697299999993</c:v>
                </c:pt>
                <c:pt idx="21">
                  <c:v>35.363669999999956</c:v>
                </c:pt>
                <c:pt idx="22">
                  <c:v>33.65643399999999</c:v>
                </c:pt>
                <c:pt idx="23">
                  <c:v>32.47386599999993</c:v>
                </c:pt>
                <c:pt idx="24">
                  <c:v>36.299031000000014</c:v>
                </c:pt>
                <c:pt idx="25">
                  <c:v>37.639075999999932</c:v>
                </c:pt>
                <c:pt idx="26">
                  <c:v>36.522522000000095</c:v>
                </c:pt>
                <c:pt idx="27">
                  <c:v>35.963971000000015</c:v>
                </c:pt>
                <c:pt idx="28">
                  <c:v>37.915605000000028</c:v>
                </c:pt>
                <c:pt idx="29">
                  <c:v>40.543403000000012</c:v>
                </c:pt>
                <c:pt idx="30">
                  <c:v>43.408891999999923</c:v>
                </c:pt>
                <c:pt idx="31">
                  <c:v>44.470165000000179</c:v>
                </c:pt>
                <c:pt idx="32">
                  <c:v>38.64196000000004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20256"/>
        <c:axId val="-1084006656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FIT'!$D$7:$D$66</c:f>
              <c:numCache>
                <c:formatCode>#,##0.00</c:formatCode>
                <c:ptCount val="33"/>
                <c:pt idx="0">
                  <c:v>0.51230699999999996</c:v>
                </c:pt>
                <c:pt idx="1">
                  <c:v>6.5132500000000002</c:v>
                </c:pt>
                <c:pt idx="2">
                  <c:v>23.360226999999998</c:v>
                </c:pt>
                <c:pt idx="3">
                  <c:v>53.22372</c:v>
                </c:pt>
                <c:pt idx="4">
                  <c:v>567.83627899999999</c:v>
                </c:pt>
                <c:pt idx="5">
                  <c:v>728.81185300000004</c:v>
                </c:pt>
                <c:pt idx="6">
                  <c:v>915.53534000000002</c:v>
                </c:pt>
                <c:pt idx="7">
                  <c:v>1087.787153</c:v>
                </c:pt>
                <c:pt idx="8">
                  <c:v>1225.081408</c:v>
                </c:pt>
                <c:pt idx="9">
                  <c:v>1316.5731450000001</c:v>
                </c:pt>
                <c:pt idx="10">
                  <c:v>1358.3423110000001</c:v>
                </c:pt>
                <c:pt idx="11">
                  <c:v>1352.176113</c:v>
                </c:pt>
                <c:pt idx="12">
                  <c:v>1304.470716</c:v>
                </c:pt>
                <c:pt idx="13">
                  <c:v>1217.579264</c:v>
                </c:pt>
                <c:pt idx="14">
                  <c:v>1108.1223600000001</c:v>
                </c:pt>
                <c:pt idx="15">
                  <c:v>998.99598500000002</c:v>
                </c:pt>
                <c:pt idx="16">
                  <c:v>900.33562099999995</c:v>
                </c:pt>
                <c:pt idx="17">
                  <c:v>818.36745900000005</c:v>
                </c:pt>
                <c:pt idx="18">
                  <c:v>756.32585700000004</c:v>
                </c:pt>
                <c:pt idx="19">
                  <c:v>715.290435</c:v>
                </c:pt>
                <c:pt idx="20">
                  <c:v>694.79497000000003</c:v>
                </c:pt>
                <c:pt idx="21">
                  <c:v>693.28218700000002</c:v>
                </c:pt>
                <c:pt idx="22">
                  <c:v>708.0806</c:v>
                </c:pt>
                <c:pt idx="23">
                  <c:v>734.60511599999995</c:v>
                </c:pt>
                <c:pt idx="24">
                  <c:v>770.08748000000003</c:v>
                </c:pt>
                <c:pt idx="25">
                  <c:v>812.32137699999998</c:v>
                </c:pt>
                <c:pt idx="26">
                  <c:v>858.65623600000004</c:v>
                </c:pt>
                <c:pt idx="27">
                  <c:v>906.09218099999998</c:v>
                </c:pt>
                <c:pt idx="28">
                  <c:v>951.45494099999996</c:v>
                </c:pt>
                <c:pt idx="29">
                  <c:v>991.54700600000001</c:v>
                </c:pt>
                <c:pt idx="30">
                  <c:v>1023.5201970000001</c:v>
                </c:pt>
                <c:pt idx="31">
                  <c:v>1045.369283</c:v>
                </c:pt>
                <c:pt idx="32">
                  <c:v>1039.4526189999999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41-4241-B6BF-8C9B62565E47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FIT'!$B$7:$B$66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FIT'!$C$7:$C$66</c:f>
              <c:numCache>
                <c:formatCode>#,##0.00</c:formatCode>
                <c:ptCount val="33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19.059180000000001</c:v>
                </c:pt>
                <c:pt idx="4">
                  <c:v>465.83273000000003</c:v>
                </c:pt>
                <c:pt idx="5">
                  <c:v>1875.721239</c:v>
                </c:pt>
                <c:pt idx="6">
                  <c:v>1710.991518</c:v>
                </c:pt>
                <c:pt idx="7">
                  <c:v>1680.2135129999999</c:v>
                </c:pt>
                <c:pt idx="8">
                  <c:v>1475.65455</c:v>
                </c:pt>
                <c:pt idx="9">
                  <c:v>1530.72937</c:v>
                </c:pt>
                <c:pt idx="10">
                  <c:v>1385.407078</c:v>
                </c:pt>
                <c:pt idx="11">
                  <c:v>1238.1914589999999</c:v>
                </c:pt>
                <c:pt idx="12">
                  <c:v>1167.481757</c:v>
                </c:pt>
                <c:pt idx="13">
                  <c:v>1011.174018</c:v>
                </c:pt>
                <c:pt idx="14">
                  <c:v>877.79469200000005</c:v>
                </c:pt>
                <c:pt idx="15">
                  <c:v>892.37865599999998</c:v>
                </c:pt>
                <c:pt idx="16">
                  <c:v>884.27997400000004</c:v>
                </c:pt>
                <c:pt idx="17">
                  <c:v>722.82026900000005</c:v>
                </c:pt>
                <c:pt idx="18">
                  <c:v>672.77193299999999</c:v>
                </c:pt>
                <c:pt idx="19">
                  <c:v>718.70200299999999</c:v>
                </c:pt>
                <c:pt idx="20">
                  <c:v>669.88578199999995</c:v>
                </c:pt>
                <c:pt idx="21">
                  <c:v>728.40917200000001</c:v>
                </c:pt>
                <c:pt idx="22">
                  <c:v>829.17874099999995</c:v>
                </c:pt>
                <c:pt idx="23">
                  <c:v>822.92427399999997</c:v>
                </c:pt>
                <c:pt idx="24">
                  <c:v>867.73623799999996</c:v>
                </c:pt>
                <c:pt idx="25">
                  <c:v>926.95752600000003</c:v>
                </c:pt>
                <c:pt idx="26">
                  <c:v>999.43259399999999</c:v>
                </c:pt>
                <c:pt idx="27">
                  <c:v>944.45915400000001</c:v>
                </c:pt>
                <c:pt idx="28">
                  <c:v>822.84733600000004</c:v>
                </c:pt>
                <c:pt idx="29">
                  <c:v>957.59942699999999</c:v>
                </c:pt>
                <c:pt idx="30">
                  <c:v>916.00478199999998</c:v>
                </c:pt>
                <c:pt idx="31">
                  <c:v>956.13157200000001</c:v>
                </c:pt>
                <c:pt idx="32">
                  <c:v>1103.424929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41-4241-B6BF-8C9B6256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20256"/>
        <c:axId val="-1084006656"/>
      </c:lineChart>
      <c:catAx>
        <c:axId val="-108402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6656"/>
        <c:crosses val="autoZero"/>
        <c:auto val="1"/>
        <c:lblAlgn val="ctr"/>
        <c:lblOffset val="100"/>
        <c:noMultiLvlLbl val="0"/>
      </c:catAx>
      <c:valAx>
        <c:axId val="-1084006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2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718003061344635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FIT'!$E$71:$E$130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26.948551999999999</c:v>
                </c:pt>
                <c:pt idx="5">
                  <c:v>18.822289000000001</c:v>
                </c:pt>
                <c:pt idx="6">
                  <c:v>15.341464999999999</c:v>
                </c:pt>
                <c:pt idx="7">
                  <c:v>15.17243</c:v>
                </c:pt>
                <c:pt idx="8">
                  <c:v>25.238035</c:v>
                </c:pt>
                <c:pt idx="9">
                  <c:v>34.790415000000003</c:v>
                </c:pt>
                <c:pt idx="10">
                  <c:v>33.660964999999997</c:v>
                </c:pt>
                <c:pt idx="11">
                  <c:v>32.346251000000002</c:v>
                </c:pt>
                <c:pt idx="12">
                  <c:v>93.087928000000005</c:v>
                </c:pt>
                <c:pt idx="13">
                  <c:v>153.14609400000001</c:v>
                </c:pt>
                <c:pt idx="14">
                  <c:v>262.82867599999997</c:v>
                </c:pt>
                <c:pt idx="15">
                  <c:v>182.95610300000001</c:v>
                </c:pt>
                <c:pt idx="16">
                  <c:v>211.675892</c:v>
                </c:pt>
                <c:pt idx="17">
                  <c:v>225.73903000000001</c:v>
                </c:pt>
                <c:pt idx="18">
                  <c:v>207.65236300000001</c:v>
                </c:pt>
                <c:pt idx="19">
                  <c:v>177.16461100000001</c:v>
                </c:pt>
                <c:pt idx="20">
                  <c:v>228.13511600000001</c:v>
                </c:pt>
                <c:pt idx="21">
                  <c:v>212.53262899999999</c:v>
                </c:pt>
                <c:pt idx="22">
                  <c:v>212.034176</c:v>
                </c:pt>
                <c:pt idx="23">
                  <c:v>224.177729</c:v>
                </c:pt>
                <c:pt idx="24">
                  <c:v>247.10897800000001</c:v>
                </c:pt>
                <c:pt idx="25">
                  <c:v>259.34633700000001</c:v>
                </c:pt>
                <c:pt idx="26">
                  <c:v>267.95606299999997</c:v>
                </c:pt>
                <c:pt idx="27">
                  <c:v>274.73884500000003</c:v>
                </c:pt>
                <c:pt idx="28">
                  <c:v>339.40534600000001</c:v>
                </c:pt>
                <c:pt idx="29">
                  <c:v>331.46636999999998</c:v>
                </c:pt>
                <c:pt idx="30">
                  <c:v>347.39260400000001</c:v>
                </c:pt>
                <c:pt idx="31">
                  <c:v>325.89862599999998</c:v>
                </c:pt>
                <c:pt idx="32">
                  <c:v>302.586184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B-48E9-A6A2-D94A2ECB52D6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FIT'!$G$71:$G$130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20.541184999999999</c:v>
                </c:pt>
                <c:pt idx="5">
                  <c:v>14.404898999999997</c:v>
                </c:pt>
                <c:pt idx="6">
                  <c:v>13.085395000000002</c:v>
                </c:pt>
                <c:pt idx="7">
                  <c:v>11.882004</c:v>
                </c:pt>
                <c:pt idx="8">
                  <c:v>14.934541999999997</c:v>
                </c:pt>
                <c:pt idx="9">
                  <c:v>16.229802999999997</c:v>
                </c:pt>
                <c:pt idx="10">
                  <c:v>18.285822000000003</c:v>
                </c:pt>
                <c:pt idx="11">
                  <c:v>16.174227999999999</c:v>
                </c:pt>
                <c:pt idx="12">
                  <c:v>29.635345999999998</c:v>
                </c:pt>
                <c:pt idx="13">
                  <c:v>29.286845</c:v>
                </c:pt>
                <c:pt idx="14">
                  <c:v>30.364250000000027</c:v>
                </c:pt>
                <c:pt idx="15">
                  <c:v>28.273585999999995</c:v>
                </c:pt>
                <c:pt idx="16">
                  <c:v>27.932586999999984</c:v>
                </c:pt>
                <c:pt idx="17">
                  <c:v>23.547102999999993</c:v>
                </c:pt>
                <c:pt idx="18">
                  <c:v>28.085081000000002</c:v>
                </c:pt>
                <c:pt idx="19">
                  <c:v>24.108185999999989</c:v>
                </c:pt>
                <c:pt idx="20">
                  <c:v>25.984179999999981</c:v>
                </c:pt>
                <c:pt idx="21">
                  <c:v>26.736745000000013</c:v>
                </c:pt>
                <c:pt idx="22">
                  <c:v>23.942385000000002</c:v>
                </c:pt>
                <c:pt idx="23">
                  <c:v>28.956467000000004</c:v>
                </c:pt>
                <c:pt idx="24">
                  <c:v>24.59525099999999</c:v>
                </c:pt>
                <c:pt idx="25">
                  <c:v>23.57163300000002</c:v>
                </c:pt>
                <c:pt idx="26">
                  <c:v>28.28949300000005</c:v>
                </c:pt>
                <c:pt idx="27">
                  <c:v>29.505186999999978</c:v>
                </c:pt>
                <c:pt idx="28">
                  <c:v>20.866903999999977</c:v>
                </c:pt>
                <c:pt idx="29">
                  <c:v>25.911844000000031</c:v>
                </c:pt>
                <c:pt idx="30">
                  <c:v>29.177020999999968</c:v>
                </c:pt>
                <c:pt idx="31">
                  <c:v>35.954570000000047</c:v>
                </c:pt>
                <c:pt idx="32">
                  <c:v>28.266547000000003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08288"/>
        <c:axId val="-108401862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FIT'!$D$71:$D$130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38.367809999999999</c:v>
                </c:pt>
                <c:pt idx="5">
                  <c:v>27.346662999999999</c:v>
                </c:pt>
                <c:pt idx="6">
                  <c:v>22.798431999999998</c:v>
                </c:pt>
                <c:pt idx="7">
                  <c:v>20.841514</c:v>
                </c:pt>
                <c:pt idx="8">
                  <c:v>33.103579000000003</c:v>
                </c:pt>
                <c:pt idx="9">
                  <c:v>42.884850999999998</c:v>
                </c:pt>
                <c:pt idx="10">
                  <c:v>42.894047</c:v>
                </c:pt>
                <c:pt idx="11">
                  <c:v>40.046227000000002</c:v>
                </c:pt>
                <c:pt idx="12">
                  <c:v>109.749797</c:v>
                </c:pt>
                <c:pt idx="13">
                  <c:v>169.52158600000001</c:v>
                </c:pt>
                <c:pt idx="14">
                  <c:v>278.07360699999998</c:v>
                </c:pt>
                <c:pt idx="15">
                  <c:v>195.85538299999999</c:v>
                </c:pt>
                <c:pt idx="16">
                  <c:v>223.32897600000001</c:v>
                </c:pt>
                <c:pt idx="17">
                  <c:v>237.22066000000001</c:v>
                </c:pt>
                <c:pt idx="18">
                  <c:v>220.79697300000001</c:v>
                </c:pt>
                <c:pt idx="19">
                  <c:v>189.291867</c:v>
                </c:pt>
                <c:pt idx="20">
                  <c:v>241.76259899999999</c:v>
                </c:pt>
                <c:pt idx="21">
                  <c:v>225.991975</c:v>
                </c:pt>
                <c:pt idx="22">
                  <c:v>224.47812400000001</c:v>
                </c:pt>
                <c:pt idx="23">
                  <c:v>240.25758400000001</c:v>
                </c:pt>
                <c:pt idx="24">
                  <c:v>260.67285700000002</c:v>
                </c:pt>
                <c:pt idx="25">
                  <c:v>272.50143800000001</c:v>
                </c:pt>
                <c:pt idx="26">
                  <c:v>283.33908700000001</c:v>
                </c:pt>
                <c:pt idx="27">
                  <c:v>289.75983400000001</c:v>
                </c:pt>
                <c:pt idx="28">
                  <c:v>350.24065300000001</c:v>
                </c:pt>
                <c:pt idx="29">
                  <c:v>344.52618799999999</c:v>
                </c:pt>
                <c:pt idx="30">
                  <c:v>362.58018700000002</c:v>
                </c:pt>
                <c:pt idx="31">
                  <c:v>343.43575800000002</c:v>
                </c:pt>
                <c:pt idx="32">
                  <c:v>316.24831399999999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8B-48E9-A6A2-D94A2ECB52D6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FIT'!$B$71:$B$130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FIT'!$C$71:$C$130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30</c:v>
                </c:pt>
                <c:pt idx="6">
                  <c:v>30</c:v>
                </c:pt>
                <c:pt idx="7">
                  <c:v>20</c:v>
                </c:pt>
                <c:pt idx="8">
                  <c:v>24</c:v>
                </c:pt>
                <c:pt idx="9">
                  <c:v>30</c:v>
                </c:pt>
                <c:pt idx="10">
                  <c:v>30</c:v>
                </c:pt>
                <c:pt idx="11">
                  <c:v>21</c:v>
                </c:pt>
                <c:pt idx="12">
                  <c:v>81</c:v>
                </c:pt>
                <c:pt idx="13">
                  <c:v>142</c:v>
                </c:pt>
                <c:pt idx="14">
                  <c:v>230</c:v>
                </c:pt>
                <c:pt idx="15">
                  <c:v>192</c:v>
                </c:pt>
                <c:pt idx="16">
                  <c:v>231</c:v>
                </c:pt>
                <c:pt idx="17">
                  <c:v>196</c:v>
                </c:pt>
                <c:pt idx="18">
                  <c:v>176</c:v>
                </c:pt>
                <c:pt idx="19">
                  <c:v>188</c:v>
                </c:pt>
                <c:pt idx="20">
                  <c:v>238</c:v>
                </c:pt>
                <c:pt idx="21">
                  <c:v>236</c:v>
                </c:pt>
                <c:pt idx="22">
                  <c:v>274</c:v>
                </c:pt>
                <c:pt idx="23">
                  <c:v>270</c:v>
                </c:pt>
                <c:pt idx="24">
                  <c:v>309</c:v>
                </c:pt>
                <c:pt idx="25">
                  <c:v>331</c:v>
                </c:pt>
                <c:pt idx="26">
                  <c:v>304</c:v>
                </c:pt>
                <c:pt idx="27">
                  <c:v>296</c:v>
                </c:pt>
                <c:pt idx="28">
                  <c:v>303</c:v>
                </c:pt>
                <c:pt idx="29">
                  <c:v>309</c:v>
                </c:pt>
                <c:pt idx="30">
                  <c:v>310</c:v>
                </c:pt>
                <c:pt idx="31">
                  <c:v>325</c:v>
                </c:pt>
                <c:pt idx="32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8B-48E9-A6A2-D94A2ECB5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08288"/>
        <c:axId val="-1084018624"/>
      </c:lineChart>
      <c:catAx>
        <c:axId val="-1084008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8624"/>
        <c:crosses val="autoZero"/>
        <c:auto val="1"/>
        <c:lblAlgn val="ctr"/>
        <c:lblOffset val="100"/>
        <c:noMultiLvlLbl val="0"/>
      </c:catAx>
      <c:valAx>
        <c:axId val="-108401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0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FIT'!$E$135:$E$194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7.5963589999999996</c:v>
                </c:pt>
                <c:pt idx="5">
                  <c:v>6.8670900000000001</c:v>
                </c:pt>
                <c:pt idx="6">
                  <c:v>6.287846</c:v>
                </c:pt>
                <c:pt idx="7">
                  <c:v>6.4559870000000004</c:v>
                </c:pt>
                <c:pt idx="8">
                  <c:v>12.005074</c:v>
                </c:pt>
                <c:pt idx="9">
                  <c:v>16.603528000000001</c:v>
                </c:pt>
                <c:pt idx="10">
                  <c:v>16.409510999999998</c:v>
                </c:pt>
                <c:pt idx="11">
                  <c:v>16.255392000000001</c:v>
                </c:pt>
                <c:pt idx="12">
                  <c:v>48.470422999999997</c:v>
                </c:pt>
                <c:pt idx="13">
                  <c:v>77.251639999999995</c:v>
                </c:pt>
                <c:pt idx="14">
                  <c:v>129.07665</c:v>
                </c:pt>
                <c:pt idx="15">
                  <c:v>90.137415000000004</c:v>
                </c:pt>
                <c:pt idx="16">
                  <c:v>102.772184</c:v>
                </c:pt>
                <c:pt idx="17">
                  <c:v>107.33205599999999</c:v>
                </c:pt>
                <c:pt idx="18">
                  <c:v>95.501199</c:v>
                </c:pt>
                <c:pt idx="19">
                  <c:v>80.962817000000001</c:v>
                </c:pt>
                <c:pt idx="20">
                  <c:v>101.303275</c:v>
                </c:pt>
                <c:pt idx="21">
                  <c:v>93.081872000000004</c:v>
                </c:pt>
                <c:pt idx="22">
                  <c:v>91.189779999999999</c:v>
                </c:pt>
                <c:pt idx="23">
                  <c:v>102.037678</c:v>
                </c:pt>
                <c:pt idx="24">
                  <c:v>112.281068</c:v>
                </c:pt>
                <c:pt idx="25">
                  <c:v>121.951193</c:v>
                </c:pt>
                <c:pt idx="26">
                  <c:v>127.566474</c:v>
                </c:pt>
                <c:pt idx="27">
                  <c:v>135.54369199999999</c:v>
                </c:pt>
                <c:pt idx="28">
                  <c:v>169.18770000000001</c:v>
                </c:pt>
                <c:pt idx="29">
                  <c:v>171.441811</c:v>
                </c:pt>
                <c:pt idx="30">
                  <c:v>186.63833399999999</c:v>
                </c:pt>
                <c:pt idx="31">
                  <c:v>180.88401300000001</c:v>
                </c:pt>
                <c:pt idx="32">
                  <c:v>169.00305499999999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9B-48C0-9DC7-2F3D35BCCB95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FIT'!$G$135:$G$194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12.146336999999999</c:v>
                </c:pt>
                <c:pt idx="5">
                  <c:v>7.6816240000000002</c:v>
                </c:pt>
                <c:pt idx="6">
                  <c:v>6.1901399999999995</c:v>
                </c:pt>
                <c:pt idx="7">
                  <c:v>5.8664149999999999</c:v>
                </c:pt>
                <c:pt idx="8">
                  <c:v>7.0665349999999982</c:v>
                </c:pt>
                <c:pt idx="9">
                  <c:v>8.6804309999999987</c:v>
                </c:pt>
                <c:pt idx="10">
                  <c:v>8.2378530000000012</c:v>
                </c:pt>
                <c:pt idx="11">
                  <c:v>8.0222529999999992</c:v>
                </c:pt>
                <c:pt idx="12">
                  <c:v>14.115412000000006</c:v>
                </c:pt>
                <c:pt idx="13">
                  <c:v>18.670791000000008</c:v>
                </c:pt>
                <c:pt idx="14">
                  <c:v>24.416644999999988</c:v>
                </c:pt>
                <c:pt idx="15">
                  <c:v>15.410753999999997</c:v>
                </c:pt>
                <c:pt idx="16">
                  <c:v>17.891859000000011</c:v>
                </c:pt>
                <c:pt idx="17">
                  <c:v>14.54820500000001</c:v>
                </c:pt>
                <c:pt idx="18">
                  <c:v>15.072659999999999</c:v>
                </c:pt>
                <c:pt idx="19">
                  <c:v>13.823662999999996</c:v>
                </c:pt>
                <c:pt idx="20">
                  <c:v>18.030988000000008</c:v>
                </c:pt>
                <c:pt idx="21">
                  <c:v>13.518247000000002</c:v>
                </c:pt>
                <c:pt idx="22">
                  <c:v>16.094610000000003</c:v>
                </c:pt>
                <c:pt idx="23">
                  <c:v>15.058473000000006</c:v>
                </c:pt>
                <c:pt idx="24">
                  <c:v>16.444845999999984</c:v>
                </c:pt>
                <c:pt idx="25">
                  <c:v>15.234379000000004</c:v>
                </c:pt>
                <c:pt idx="26">
                  <c:v>16.591797000000014</c:v>
                </c:pt>
                <c:pt idx="27">
                  <c:v>16.689583999999996</c:v>
                </c:pt>
                <c:pt idx="28">
                  <c:v>19.131623999999988</c:v>
                </c:pt>
                <c:pt idx="29">
                  <c:v>18.642232000000007</c:v>
                </c:pt>
                <c:pt idx="30">
                  <c:v>20.983006000000017</c:v>
                </c:pt>
                <c:pt idx="31">
                  <c:v>24.461252999999999</c:v>
                </c:pt>
                <c:pt idx="32">
                  <c:v>22.80952400000001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9712"/>
        <c:axId val="-1084019168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FIT'!$D$135:$D$194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13.516629</c:v>
                </c:pt>
                <c:pt idx="5">
                  <c:v>10.704444000000001</c:v>
                </c:pt>
                <c:pt idx="6">
                  <c:v>9.6155139999999992</c:v>
                </c:pt>
                <c:pt idx="7">
                  <c:v>9.2973619999999997</c:v>
                </c:pt>
                <c:pt idx="8">
                  <c:v>15.425846</c:v>
                </c:pt>
                <c:pt idx="9">
                  <c:v>20.686384</c:v>
                </c:pt>
                <c:pt idx="10">
                  <c:v>21.270081999999999</c:v>
                </c:pt>
                <c:pt idx="11">
                  <c:v>20.300629000000001</c:v>
                </c:pt>
                <c:pt idx="12">
                  <c:v>56.608491999999998</c:v>
                </c:pt>
                <c:pt idx="13">
                  <c:v>87.260052000000002</c:v>
                </c:pt>
                <c:pt idx="14">
                  <c:v>140.92718600000001</c:v>
                </c:pt>
                <c:pt idx="15">
                  <c:v>97.936671000000004</c:v>
                </c:pt>
                <c:pt idx="16">
                  <c:v>110.066078</c:v>
                </c:pt>
                <c:pt idx="17">
                  <c:v>114.890152</c:v>
                </c:pt>
                <c:pt idx="18">
                  <c:v>104.735811</c:v>
                </c:pt>
                <c:pt idx="19">
                  <c:v>87.733821000000006</c:v>
                </c:pt>
                <c:pt idx="20">
                  <c:v>109.426698</c:v>
                </c:pt>
                <c:pt idx="21">
                  <c:v>100.036789</c:v>
                </c:pt>
                <c:pt idx="22">
                  <c:v>99.823898999999997</c:v>
                </c:pt>
                <c:pt idx="23">
                  <c:v>109.316885</c:v>
                </c:pt>
                <c:pt idx="24">
                  <c:v>121.028537</c:v>
                </c:pt>
                <c:pt idx="25">
                  <c:v>129.284109</c:v>
                </c:pt>
                <c:pt idx="26">
                  <c:v>137.66799900000001</c:v>
                </c:pt>
                <c:pt idx="27">
                  <c:v>144.47363300000001</c:v>
                </c:pt>
                <c:pt idx="28">
                  <c:v>179.48937799999999</c:v>
                </c:pt>
                <c:pt idx="29">
                  <c:v>181.705433</c:v>
                </c:pt>
                <c:pt idx="30">
                  <c:v>196.99703600000001</c:v>
                </c:pt>
                <c:pt idx="31">
                  <c:v>192.37698499999999</c:v>
                </c:pt>
                <c:pt idx="32">
                  <c:v>179.68456800000001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9B-48C0-9DC7-2F3D35BCCB95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FIT'!$B$135:$B$194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FIT'!$C$135:$C$194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</c:v>
                </c:pt>
                <c:pt idx="5">
                  <c:v>29</c:v>
                </c:pt>
                <c:pt idx="6">
                  <c:v>7</c:v>
                </c:pt>
                <c:pt idx="7">
                  <c:v>15</c:v>
                </c:pt>
                <c:pt idx="8">
                  <c:v>9</c:v>
                </c:pt>
                <c:pt idx="9">
                  <c:v>9</c:v>
                </c:pt>
                <c:pt idx="10">
                  <c:v>13</c:v>
                </c:pt>
                <c:pt idx="11">
                  <c:v>15</c:v>
                </c:pt>
                <c:pt idx="12">
                  <c:v>50</c:v>
                </c:pt>
                <c:pt idx="13">
                  <c:v>76</c:v>
                </c:pt>
                <c:pt idx="14">
                  <c:v>109</c:v>
                </c:pt>
                <c:pt idx="15">
                  <c:v>98</c:v>
                </c:pt>
                <c:pt idx="16">
                  <c:v>97</c:v>
                </c:pt>
                <c:pt idx="17">
                  <c:v>102</c:v>
                </c:pt>
                <c:pt idx="18">
                  <c:v>106</c:v>
                </c:pt>
                <c:pt idx="19">
                  <c:v>89</c:v>
                </c:pt>
                <c:pt idx="20">
                  <c:v>98</c:v>
                </c:pt>
                <c:pt idx="21">
                  <c:v>106</c:v>
                </c:pt>
                <c:pt idx="22">
                  <c:v>114</c:v>
                </c:pt>
                <c:pt idx="23">
                  <c:v>130</c:v>
                </c:pt>
                <c:pt idx="24">
                  <c:v>143</c:v>
                </c:pt>
                <c:pt idx="25">
                  <c:v>149</c:v>
                </c:pt>
                <c:pt idx="26">
                  <c:v>146</c:v>
                </c:pt>
                <c:pt idx="27">
                  <c:v>162</c:v>
                </c:pt>
                <c:pt idx="28">
                  <c:v>164</c:v>
                </c:pt>
                <c:pt idx="29">
                  <c:v>174</c:v>
                </c:pt>
                <c:pt idx="30">
                  <c:v>159</c:v>
                </c:pt>
                <c:pt idx="31">
                  <c:v>180</c:v>
                </c:pt>
                <c:pt idx="32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9B-48C0-9DC7-2F3D35BCC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9712"/>
        <c:axId val="-1084019168"/>
      </c:lineChart>
      <c:catAx>
        <c:axId val="-108401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168"/>
        <c:crosses val="autoZero"/>
        <c:auto val="1"/>
        <c:lblAlgn val="ctr"/>
        <c:lblOffset val="100"/>
        <c:noMultiLvlLbl val="0"/>
      </c:catAx>
      <c:valAx>
        <c:axId val="-1084019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8290841592730331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FIT'!$E$199:$E$258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3.5116869999999998</c:v>
                </c:pt>
                <c:pt idx="5">
                  <c:v>3.5678740000000002</c:v>
                </c:pt>
                <c:pt idx="6">
                  <c:v>3.5989270000000002</c:v>
                </c:pt>
                <c:pt idx="7">
                  <c:v>4.4482379999999999</c:v>
                </c:pt>
                <c:pt idx="8">
                  <c:v>8.0246870000000001</c:v>
                </c:pt>
                <c:pt idx="9">
                  <c:v>12.113747999999999</c:v>
                </c:pt>
                <c:pt idx="10">
                  <c:v>12.109398000000001</c:v>
                </c:pt>
                <c:pt idx="11">
                  <c:v>12.671766999999999</c:v>
                </c:pt>
                <c:pt idx="12">
                  <c:v>39.341520000000003</c:v>
                </c:pt>
                <c:pt idx="13">
                  <c:v>64.039089000000004</c:v>
                </c:pt>
                <c:pt idx="14">
                  <c:v>113.671238</c:v>
                </c:pt>
                <c:pt idx="15">
                  <c:v>80.727074999999999</c:v>
                </c:pt>
                <c:pt idx="16">
                  <c:v>91.983284999999995</c:v>
                </c:pt>
                <c:pt idx="17">
                  <c:v>97.116569999999996</c:v>
                </c:pt>
                <c:pt idx="18">
                  <c:v>88.489013999999997</c:v>
                </c:pt>
                <c:pt idx="19">
                  <c:v>71.496369999999999</c:v>
                </c:pt>
                <c:pt idx="20">
                  <c:v>86.510909999999996</c:v>
                </c:pt>
                <c:pt idx="21">
                  <c:v>75.035556999999997</c:v>
                </c:pt>
                <c:pt idx="22">
                  <c:v>75.225447000000003</c:v>
                </c:pt>
                <c:pt idx="23">
                  <c:v>84.555790000000002</c:v>
                </c:pt>
                <c:pt idx="24">
                  <c:v>94.035238000000007</c:v>
                </c:pt>
                <c:pt idx="25">
                  <c:v>100.774879</c:v>
                </c:pt>
                <c:pt idx="26">
                  <c:v>108.40893800000001</c:v>
                </c:pt>
                <c:pt idx="27">
                  <c:v>114.568479</c:v>
                </c:pt>
                <c:pt idx="28">
                  <c:v>145.828926</c:v>
                </c:pt>
                <c:pt idx="29">
                  <c:v>146.514276</c:v>
                </c:pt>
                <c:pt idx="30">
                  <c:v>163.23589000000001</c:v>
                </c:pt>
                <c:pt idx="31">
                  <c:v>161.64982900000001</c:v>
                </c:pt>
                <c:pt idx="32">
                  <c:v>148.48694599999999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7-48A0-B31D-79438DF83CE8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FIT'!$G$199:$G$258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8.1484500000000004</c:v>
                </c:pt>
                <c:pt idx="5">
                  <c:v>5.6407480000000003</c:v>
                </c:pt>
                <c:pt idx="6">
                  <c:v>4.3141639999999999</c:v>
                </c:pt>
                <c:pt idx="7">
                  <c:v>3.7506090000000007</c:v>
                </c:pt>
                <c:pt idx="8">
                  <c:v>5.2718899999999991</c:v>
                </c:pt>
                <c:pt idx="9">
                  <c:v>6.6152230000000021</c:v>
                </c:pt>
                <c:pt idx="10">
                  <c:v>7.1669949999999982</c:v>
                </c:pt>
                <c:pt idx="11">
                  <c:v>6.7403760000000013</c:v>
                </c:pt>
                <c:pt idx="12">
                  <c:v>12.977201999999998</c:v>
                </c:pt>
                <c:pt idx="13">
                  <c:v>17.769522999999992</c:v>
                </c:pt>
                <c:pt idx="14">
                  <c:v>18.751018999999999</c:v>
                </c:pt>
                <c:pt idx="15">
                  <c:v>12.683968000000007</c:v>
                </c:pt>
                <c:pt idx="16">
                  <c:v>13.891370000000009</c:v>
                </c:pt>
                <c:pt idx="17">
                  <c:v>13.105290000000011</c:v>
                </c:pt>
                <c:pt idx="18">
                  <c:v>10.835248000000007</c:v>
                </c:pt>
                <c:pt idx="19">
                  <c:v>10.606345000000005</c:v>
                </c:pt>
                <c:pt idx="20">
                  <c:v>14.783765000000002</c:v>
                </c:pt>
                <c:pt idx="21">
                  <c:v>15.336050999999998</c:v>
                </c:pt>
                <c:pt idx="22">
                  <c:v>13.210551999999993</c:v>
                </c:pt>
                <c:pt idx="23">
                  <c:v>12.158085999999997</c:v>
                </c:pt>
                <c:pt idx="24">
                  <c:v>14.06845899999999</c:v>
                </c:pt>
                <c:pt idx="25">
                  <c:v>13.712078000000005</c:v>
                </c:pt>
                <c:pt idx="26">
                  <c:v>13.415646999999993</c:v>
                </c:pt>
                <c:pt idx="27">
                  <c:v>17.393675999999999</c:v>
                </c:pt>
                <c:pt idx="28">
                  <c:v>15.791398000000015</c:v>
                </c:pt>
                <c:pt idx="29">
                  <c:v>19.205011000000013</c:v>
                </c:pt>
                <c:pt idx="30">
                  <c:v>19.664969999999983</c:v>
                </c:pt>
                <c:pt idx="31">
                  <c:v>18.141430999999983</c:v>
                </c:pt>
                <c:pt idx="32">
                  <c:v>18.551822000000016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84017536"/>
        <c:axId val="-108401699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FIT'!$D$199:$D$258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7.6928739999999998</c:v>
                </c:pt>
                <c:pt idx="5">
                  <c:v>6.414841</c:v>
                </c:pt>
                <c:pt idx="6">
                  <c:v>6.0533919999999997</c:v>
                </c:pt>
                <c:pt idx="7">
                  <c:v>6.1348950000000002</c:v>
                </c:pt>
                <c:pt idx="8">
                  <c:v>10.646875</c:v>
                </c:pt>
                <c:pt idx="9">
                  <c:v>14.905723</c:v>
                </c:pt>
                <c:pt idx="10">
                  <c:v>15.971059</c:v>
                </c:pt>
                <c:pt idx="11">
                  <c:v>15.854523</c:v>
                </c:pt>
                <c:pt idx="12">
                  <c:v>45.885423000000003</c:v>
                </c:pt>
                <c:pt idx="13">
                  <c:v>73.303990999999996</c:v>
                </c:pt>
                <c:pt idx="14">
                  <c:v>122.05847900000001</c:v>
                </c:pt>
                <c:pt idx="15">
                  <c:v>86.727098999999995</c:v>
                </c:pt>
                <c:pt idx="16">
                  <c:v>98.699505000000002</c:v>
                </c:pt>
                <c:pt idx="17">
                  <c:v>103.147265</c:v>
                </c:pt>
                <c:pt idx="18">
                  <c:v>92.998878000000005</c:v>
                </c:pt>
                <c:pt idx="19">
                  <c:v>76.187939999999998</c:v>
                </c:pt>
                <c:pt idx="20">
                  <c:v>92.189903999999999</c:v>
                </c:pt>
                <c:pt idx="21">
                  <c:v>81.486463000000001</c:v>
                </c:pt>
                <c:pt idx="22">
                  <c:v>80.803329000000005</c:v>
                </c:pt>
                <c:pt idx="23">
                  <c:v>89.722282000000007</c:v>
                </c:pt>
                <c:pt idx="24">
                  <c:v>100.149652</c:v>
                </c:pt>
                <c:pt idx="25">
                  <c:v>107.73495800000001</c:v>
                </c:pt>
                <c:pt idx="26">
                  <c:v>115.65563299999999</c:v>
                </c:pt>
                <c:pt idx="27">
                  <c:v>122.55890599999999</c:v>
                </c:pt>
                <c:pt idx="28">
                  <c:v>153.94732999999999</c:v>
                </c:pt>
                <c:pt idx="29">
                  <c:v>157.678147</c:v>
                </c:pt>
                <c:pt idx="30">
                  <c:v>172.959597</c:v>
                </c:pt>
                <c:pt idx="31">
                  <c:v>170.78643299999999</c:v>
                </c:pt>
                <c:pt idx="32">
                  <c:v>159.10052400000001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C7-48A0-B31D-79438DF83CE8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FIT'!$B$199:$B$258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FIT'!$C$199:$C$258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26</c:v>
                </c:pt>
                <c:pt idx="6">
                  <c:v>15</c:v>
                </c:pt>
                <c:pt idx="7">
                  <c:v>8</c:v>
                </c:pt>
                <c:pt idx="8">
                  <c:v>10</c:v>
                </c:pt>
                <c:pt idx="9">
                  <c:v>19</c:v>
                </c:pt>
                <c:pt idx="10">
                  <c:v>22</c:v>
                </c:pt>
                <c:pt idx="11">
                  <c:v>10</c:v>
                </c:pt>
                <c:pt idx="12">
                  <c:v>35</c:v>
                </c:pt>
                <c:pt idx="13">
                  <c:v>60</c:v>
                </c:pt>
                <c:pt idx="14">
                  <c:v>91</c:v>
                </c:pt>
                <c:pt idx="15">
                  <c:v>65</c:v>
                </c:pt>
                <c:pt idx="16">
                  <c:v>97</c:v>
                </c:pt>
                <c:pt idx="17">
                  <c:v>98</c:v>
                </c:pt>
                <c:pt idx="18">
                  <c:v>93</c:v>
                </c:pt>
                <c:pt idx="19">
                  <c:v>97</c:v>
                </c:pt>
                <c:pt idx="20">
                  <c:v>75</c:v>
                </c:pt>
                <c:pt idx="21">
                  <c:v>84</c:v>
                </c:pt>
                <c:pt idx="22">
                  <c:v>97</c:v>
                </c:pt>
                <c:pt idx="23">
                  <c:v>96</c:v>
                </c:pt>
                <c:pt idx="24">
                  <c:v>113</c:v>
                </c:pt>
                <c:pt idx="25">
                  <c:v>109</c:v>
                </c:pt>
                <c:pt idx="26">
                  <c:v>155</c:v>
                </c:pt>
                <c:pt idx="27">
                  <c:v>130</c:v>
                </c:pt>
                <c:pt idx="28">
                  <c:v>138</c:v>
                </c:pt>
                <c:pt idx="29">
                  <c:v>154</c:v>
                </c:pt>
                <c:pt idx="30">
                  <c:v>166</c:v>
                </c:pt>
                <c:pt idx="31">
                  <c:v>132</c:v>
                </c:pt>
                <c:pt idx="32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C7-48A0-B31D-79438DF83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4017536"/>
        <c:axId val="-1084016992"/>
      </c:lineChart>
      <c:catAx>
        <c:axId val="-108401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6992"/>
        <c:crosses val="autoZero"/>
        <c:auto val="1"/>
        <c:lblAlgn val="ctr"/>
        <c:lblOffset val="100"/>
        <c:noMultiLvlLbl val="0"/>
      </c:catAx>
      <c:valAx>
        <c:axId val="-108401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8401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477237309618299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FIT'!$E$263:$E$322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18.854182999999999</c:v>
                </c:pt>
                <c:pt idx="5">
                  <c:v>10.327657</c:v>
                </c:pt>
                <c:pt idx="6">
                  <c:v>7.6632959999999999</c:v>
                </c:pt>
                <c:pt idx="7">
                  <c:v>7.2677019999999999</c:v>
                </c:pt>
                <c:pt idx="8">
                  <c:v>12.166161000000001</c:v>
                </c:pt>
                <c:pt idx="9">
                  <c:v>15.938688000000001</c:v>
                </c:pt>
                <c:pt idx="10">
                  <c:v>15.303293</c:v>
                </c:pt>
                <c:pt idx="11">
                  <c:v>13.803124</c:v>
                </c:pt>
                <c:pt idx="12">
                  <c:v>40.209432</c:v>
                </c:pt>
                <c:pt idx="13">
                  <c:v>62.706257999999998</c:v>
                </c:pt>
                <c:pt idx="14">
                  <c:v>106.771511</c:v>
                </c:pt>
                <c:pt idx="15">
                  <c:v>73.092343999999997</c:v>
                </c:pt>
                <c:pt idx="16">
                  <c:v>80.959841999999995</c:v>
                </c:pt>
                <c:pt idx="17">
                  <c:v>83.105405000000005</c:v>
                </c:pt>
                <c:pt idx="18">
                  <c:v>71.436525000000003</c:v>
                </c:pt>
                <c:pt idx="19">
                  <c:v>56.102057000000002</c:v>
                </c:pt>
                <c:pt idx="20">
                  <c:v>63.714965999999997</c:v>
                </c:pt>
                <c:pt idx="21">
                  <c:v>51.330584000000002</c:v>
                </c:pt>
                <c:pt idx="22">
                  <c:v>49.822341000000002</c:v>
                </c:pt>
                <c:pt idx="23">
                  <c:v>57.036028000000002</c:v>
                </c:pt>
                <c:pt idx="24">
                  <c:v>64.311653000000007</c:v>
                </c:pt>
                <c:pt idx="25">
                  <c:v>68.191642000000002</c:v>
                </c:pt>
                <c:pt idx="26">
                  <c:v>71.502050999999994</c:v>
                </c:pt>
                <c:pt idx="27">
                  <c:v>75.543340000000001</c:v>
                </c:pt>
                <c:pt idx="28">
                  <c:v>92.767465000000001</c:v>
                </c:pt>
                <c:pt idx="29">
                  <c:v>92.878775000000005</c:v>
                </c:pt>
                <c:pt idx="30">
                  <c:v>99.348562999999999</c:v>
                </c:pt>
                <c:pt idx="31">
                  <c:v>97.449748</c:v>
                </c:pt>
                <c:pt idx="32">
                  <c:v>96.710322000000005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78-4416-A33E-F2CF8704B039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FIT'!$G$263:$G$322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10.993901000000001</c:v>
                </c:pt>
                <c:pt idx="5">
                  <c:v>7.2280229999999985</c:v>
                </c:pt>
                <c:pt idx="6">
                  <c:v>7.0031659999999993</c:v>
                </c:pt>
                <c:pt idx="7">
                  <c:v>6.035202</c:v>
                </c:pt>
                <c:pt idx="8">
                  <c:v>7.0107440000000008</c:v>
                </c:pt>
                <c:pt idx="9">
                  <c:v>8.1194760000000006</c:v>
                </c:pt>
                <c:pt idx="10">
                  <c:v>7.4716729999999991</c:v>
                </c:pt>
                <c:pt idx="11">
                  <c:v>8.156955</c:v>
                </c:pt>
                <c:pt idx="12">
                  <c:v>11.197025000000004</c:v>
                </c:pt>
                <c:pt idx="13">
                  <c:v>15.176359999999995</c:v>
                </c:pt>
                <c:pt idx="14">
                  <c:v>20.469825999999998</c:v>
                </c:pt>
                <c:pt idx="15">
                  <c:v>14.266669000000007</c:v>
                </c:pt>
                <c:pt idx="16">
                  <c:v>15.646759000000003</c:v>
                </c:pt>
                <c:pt idx="17">
                  <c:v>14.394122999999993</c:v>
                </c:pt>
                <c:pt idx="18">
                  <c:v>13.720253999999997</c:v>
                </c:pt>
                <c:pt idx="19">
                  <c:v>10.961377999999996</c:v>
                </c:pt>
                <c:pt idx="20">
                  <c:v>12.015491000000004</c:v>
                </c:pt>
                <c:pt idx="21">
                  <c:v>13.950845000000001</c:v>
                </c:pt>
                <c:pt idx="22">
                  <c:v>12.792226999999997</c:v>
                </c:pt>
                <c:pt idx="23">
                  <c:v>12.134530999999996</c:v>
                </c:pt>
                <c:pt idx="24">
                  <c:v>11.023864999999986</c:v>
                </c:pt>
                <c:pt idx="25">
                  <c:v>10.947755000000001</c:v>
                </c:pt>
                <c:pt idx="26">
                  <c:v>11.569987000000012</c:v>
                </c:pt>
                <c:pt idx="27">
                  <c:v>11.637963999999997</c:v>
                </c:pt>
                <c:pt idx="28">
                  <c:v>14.383417999999992</c:v>
                </c:pt>
                <c:pt idx="29">
                  <c:v>13.884720999999999</c:v>
                </c:pt>
                <c:pt idx="30">
                  <c:v>15.329768999999999</c:v>
                </c:pt>
                <c:pt idx="31">
                  <c:v>15.567490000000006</c:v>
                </c:pt>
                <c:pt idx="32">
                  <c:v>15.092474999999993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5440"/>
        <c:axId val="-107906414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FIT'!$D$263:$D$322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24.817553</c:v>
                </c:pt>
                <c:pt idx="5">
                  <c:v>14.272895999999999</c:v>
                </c:pt>
                <c:pt idx="6">
                  <c:v>11.241915000000001</c:v>
                </c:pt>
                <c:pt idx="7">
                  <c:v>10.014901</c:v>
                </c:pt>
                <c:pt idx="8">
                  <c:v>15.565042999999999</c:v>
                </c:pt>
                <c:pt idx="9">
                  <c:v>19.704460000000001</c:v>
                </c:pt>
                <c:pt idx="10">
                  <c:v>19.208797000000001</c:v>
                </c:pt>
                <c:pt idx="11">
                  <c:v>17.419124</c:v>
                </c:pt>
                <c:pt idx="12">
                  <c:v>46.156028999999997</c:v>
                </c:pt>
                <c:pt idx="13">
                  <c:v>70.622262000000006</c:v>
                </c:pt>
                <c:pt idx="14">
                  <c:v>116.497426</c:v>
                </c:pt>
                <c:pt idx="15">
                  <c:v>81.075254000000001</c:v>
                </c:pt>
                <c:pt idx="16">
                  <c:v>89.665711000000002</c:v>
                </c:pt>
                <c:pt idx="17">
                  <c:v>90.410094000000001</c:v>
                </c:pt>
                <c:pt idx="18">
                  <c:v>78.053630999999996</c:v>
                </c:pt>
                <c:pt idx="19">
                  <c:v>60.744337000000002</c:v>
                </c:pt>
                <c:pt idx="20">
                  <c:v>69.293052000000003</c:v>
                </c:pt>
                <c:pt idx="21">
                  <c:v>57.375622999999997</c:v>
                </c:pt>
                <c:pt idx="22">
                  <c:v>56.088583999999997</c:v>
                </c:pt>
                <c:pt idx="23">
                  <c:v>63.213462</c:v>
                </c:pt>
                <c:pt idx="24">
                  <c:v>70.010172999999995</c:v>
                </c:pt>
                <c:pt idx="25">
                  <c:v>73.988211000000007</c:v>
                </c:pt>
                <c:pt idx="26">
                  <c:v>77.809822999999994</c:v>
                </c:pt>
                <c:pt idx="27">
                  <c:v>80.810918000000001</c:v>
                </c:pt>
                <c:pt idx="28">
                  <c:v>99.635407000000001</c:v>
                </c:pt>
                <c:pt idx="29">
                  <c:v>100.32069300000001</c:v>
                </c:pt>
                <c:pt idx="30">
                  <c:v>108.29847700000001</c:v>
                </c:pt>
                <c:pt idx="31">
                  <c:v>105.30269800000001</c:v>
                </c:pt>
                <c:pt idx="32">
                  <c:v>104.262563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78-4416-A33E-F2CF8704B039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FIT'!$B$263:$B$322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FIT'!$C$263:$C$322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45</c:v>
                </c:pt>
                <c:pt idx="5">
                  <c:v>76</c:v>
                </c:pt>
                <c:pt idx="6">
                  <c:v>43</c:v>
                </c:pt>
                <c:pt idx="7">
                  <c:v>30</c:v>
                </c:pt>
                <c:pt idx="8">
                  <c:v>45</c:v>
                </c:pt>
                <c:pt idx="9">
                  <c:v>54</c:v>
                </c:pt>
                <c:pt idx="10">
                  <c:v>37</c:v>
                </c:pt>
                <c:pt idx="11">
                  <c:v>39</c:v>
                </c:pt>
                <c:pt idx="12">
                  <c:v>64</c:v>
                </c:pt>
                <c:pt idx="13">
                  <c:v>56</c:v>
                </c:pt>
                <c:pt idx="14">
                  <c:v>63</c:v>
                </c:pt>
                <c:pt idx="15">
                  <c:v>51</c:v>
                </c:pt>
                <c:pt idx="16">
                  <c:v>78</c:v>
                </c:pt>
                <c:pt idx="17">
                  <c:v>76</c:v>
                </c:pt>
                <c:pt idx="18">
                  <c:v>56</c:v>
                </c:pt>
                <c:pt idx="19">
                  <c:v>57</c:v>
                </c:pt>
                <c:pt idx="20">
                  <c:v>83</c:v>
                </c:pt>
                <c:pt idx="21">
                  <c:v>80</c:v>
                </c:pt>
                <c:pt idx="22">
                  <c:v>68</c:v>
                </c:pt>
                <c:pt idx="23">
                  <c:v>73</c:v>
                </c:pt>
                <c:pt idx="24">
                  <c:v>72</c:v>
                </c:pt>
                <c:pt idx="25">
                  <c:v>66</c:v>
                </c:pt>
                <c:pt idx="26">
                  <c:v>92</c:v>
                </c:pt>
                <c:pt idx="27">
                  <c:v>79</c:v>
                </c:pt>
                <c:pt idx="28">
                  <c:v>70</c:v>
                </c:pt>
                <c:pt idx="29">
                  <c:v>108</c:v>
                </c:pt>
                <c:pt idx="30">
                  <c:v>98</c:v>
                </c:pt>
                <c:pt idx="31">
                  <c:v>101</c:v>
                </c:pt>
                <c:pt idx="32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878-4416-A33E-F2CF8704B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5440"/>
        <c:axId val="-1079064144"/>
      </c:lineChart>
      <c:catAx>
        <c:axId val="-107905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144"/>
        <c:crosses val="autoZero"/>
        <c:auto val="1"/>
        <c:lblAlgn val="ctr"/>
        <c:lblOffset val="100"/>
        <c:noMultiLvlLbl val="0"/>
      </c:catAx>
      <c:valAx>
        <c:axId val="-10790641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5327778585824987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FIT'!$E$327:$E$386</c:f>
              <c:numCache>
                <c:formatCode>#,##0.00</c:formatCode>
                <c:ptCount val="33"/>
                <c:pt idx="0">
                  <c:v>0.49914700000000001</c:v>
                </c:pt>
                <c:pt idx="1">
                  <c:v>6.3487850000000003</c:v>
                </c:pt>
                <c:pt idx="2">
                  <c:v>22.782589000000002</c:v>
                </c:pt>
                <c:pt idx="3">
                  <c:v>51.938079999999999</c:v>
                </c:pt>
                <c:pt idx="4">
                  <c:v>69.062692999999996</c:v>
                </c:pt>
                <c:pt idx="5">
                  <c:v>74.300910999999999</c:v>
                </c:pt>
                <c:pt idx="6">
                  <c:v>92.617463999999998</c:v>
                </c:pt>
                <c:pt idx="7">
                  <c:v>113.438891</c:v>
                </c:pt>
                <c:pt idx="8">
                  <c:v>131.970383</c:v>
                </c:pt>
                <c:pt idx="9">
                  <c:v>147.53569999999999</c:v>
                </c:pt>
                <c:pt idx="10">
                  <c:v>159.375426</c:v>
                </c:pt>
                <c:pt idx="11">
                  <c:v>164.41219699999999</c:v>
                </c:pt>
                <c:pt idx="12">
                  <c:v>164.50006500000001</c:v>
                </c:pt>
                <c:pt idx="13">
                  <c:v>158.62431699999999</c:v>
                </c:pt>
                <c:pt idx="14">
                  <c:v>149.43135899999999</c:v>
                </c:pt>
                <c:pt idx="15">
                  <c:v>138.368921</c:v>
                </c:pt>
                <c:pt idx="16">
                  <c:v>126.191563</c:v>
                </c:pt>
                <c:pt idx="17">
                  <c:v>115.67948199999999</c:v>
                </c:pt>
                <c:pt idx="18">
                  <c:v>106.14034700000001</c:v>
                </c:pt>
                <c:pt idx="19">
                  <c:v>97.890769000000006</c:v>
                </c:pt>
                <c:pt idx="20">
                  <c:v>91.818719999999999</c:v>
                </c:pt>
                <c:pt idx="21">
                  <c:v>87.404463000000007</c:v>
                </c:pt>
                <c:pt idx="22">
                  <c:v>85.212490000000003</c:v>
                </c:pt>
                <c:pt idx="23">
                  <c:v>82.623514</c:v>
                </c:pt>
                <c:pt idx="24">
                  <c:v>79.277368999999993</c:v>
                </c:pt>
                <c:pt idx="25">
                  <c:v>77.177605</c:v>
                </c:pt>
                <c:pt idx="26">
                  <c:v>75.941107000000002</c:v>
                </c:pt>
                <c:pt idx="27">
                  <c:v>75.197078000000005</c:v>
                </c:pt>
                <c:pt idx="28">
                  <c:v>73.725932</c:v>
                </c:pt>
                <c:pt idx="29">
                  <c:v>71.84272</c:v>
                </c:pt>
                <c:pt idx="30">
                  <c:v>69.752825000000001</c:v>
                </c:pt>
                <c:pt idx="31">
                  <c:v>67.305834000000004</c:v>
                </c:pt>
                <c:pt idx="32">
                  <c:v>64.331440000000001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8-45F9-91BA-CA0E41C8BECF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  <c:extLst xmlns:c15="http://schemas.microsoft.com/office/drawing/2012/chart"/>
            </c:numRef>
          </c:cat>
          <c:val>
            <c:numRef>
              <c:f>'GOODNESS OF FIT'!$G$327:$G$386</c:f>
              <c:numCache>
                <c:formatCode>#,##0.00</c:formatCode>
                <c:ptCount val="33"/>
                <c:pt idx="0">
                  <c:v>2.7737000000000012E-2</c:v>
                </c:pt>
                <c:pt idx="1">
                  <c:v>0.34557699999999958</c:v>
                </c:pt>
                <c:pt idx="2">
                  <c:v>1.2040979999999983</c:v>
                </c:pt>
                <c:pt idx="3">
                  <c:v>2.6721730000000008</c:v>
                </c:pt>
                <c:pt idx="4">
                  <c:v>6.8953530000000001</c:v>
                </c:pt>
                <c:pt idx="5">
                  <c:v>13.905899000000005</c:v>
                </c:pt>
                <c:pt idx="6">
                  <c:v>15.391082999999995</c:v>
                </c:pt>
                <c:pt idx="7">
                  <c:v>15.464581999999993</c:v>
                </c:pt>
                <c:pt idx="8">
                  <c:v>16.097009000000014</c:v>
                </c:pt>
                <c:pt idx="9">
                  <c:v>15.224631000000016</c:v>
                </c:pt>
                <c:pt idx="10">
                  <c:v>13.180430999999999</c:v>
                </c:pt>
                <c:pt idx="11">
                  <c:v>14.179832000000005</c:v>
                </c:pt>
                <c:pt idx="12">
                  <c:v>15.477265999999986</c:v>
                </c:pt>
                <c:pt idx="13">
                  <c:v>17.628060000000005</c:v>
                </c:pt>
                <c:pt idx="14">
                  <c:v>17.688688000000013</c:v>
                </c:pt>
                <c:pt idx="15">
                  <c:v>16.671951000000007</c:v>
                </c:pt>
                <c:pt idx="16">
                  <c:v>15.145690000000002</c:v>
                </c:pt>
                <c:pt idx="17">
                  <c:v>13.389432000000014</c:v>
                </c:pt>
                <c:pt idx="18">
                  <c:v>11.542701999999991</c:v>
                </c:pt>
                <c:pt idx="19">
                  <c:v>11.195212999999995</c:v>
                </c:pt>
                <c:pt idx="20">
                  <c:v>12.178967</c:v>
                </c:pt>
                <c:pt idx="21">
                  <c:v>13.732957999999996</c:v>
                </c:pt>
                <c:pt idx="22">
                  <c:v>14.435772</c:v>
                </c:pt>
                <c:pt idx="23">
                  <c:v>13.863821000000002</c:v>
                </c:pt>
                <c:pt idx="24">
                  <c:v>13.179405000000003</c:v>
                </c:pt>
                <c:pt idx="25">
                  <c:v>10.963170000000005</c:v>
                </c:pt>
                <c:pt idx="26">
                  <c:v>9.3447189999999978</c:v>
                </c:pt>
                <c:pt idx="27">
                  <c:v>8.3815989999999942</c:v>
                </c:pt>
                <c:pt idx="28">
                  <c:v>9.1251400000000018</c:v>
                </c:pt>
                <c:pt idx="29">
                  <c:v>10.609155999999999</c:v>
                </c:pt>
                <c:pt idx="30">
                  <c:v>12.051034000000001</c:v>
                </c:pt>
                <c:pt idx="31">
                  <c:v>13.268861000000001</c:v>
                </c:pt>
                <c:pt idx="32">
                  <c:v>13.582247999999993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0880"/>
        <c:axId val="-1079069584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FIT'!$D$327:$D$386</c:f>
              <c:numCache>
                <c:formatCode>#,##0.00</c:formatCode>
                <c:ptCount val="33"/>
                <c:pt idx="0">
                  <c:v>0.51230699999999996</c:v>
                </c:pt>
                <c:pt idx="1">
                  <c:v>6.5132500000000002</c:v>
                </c:pt>
                <c:pt idx="2">
                  <c:v>23.360226999999998</c:v>
                </c:pt>
                <c:pt idx="3">
                  <c:v>53.22372</c:v>
                </c:pt>
                <c:pt idx="4">
                  <c:v>72.972623999999996</c:v>
                </c:pt>
                <c:pt idx="5">
                  <c:v>81.980672999999996</c:v>
                </c:pt>
                <c:pt idx="6">
                  <c:v>101.431737</c:v>
                </c:pt>
                <c:pt idx="7">
                  <c:v>122.38112599999999</c:v>
                </c:pt>
                <c:pt idx="8">
                  <c:v>141.192275</c:v>
                </c:pt>
                <c:pt idx="9">
                  <c:v>156.110736</c:v>
                </c:pt>
                <c:pt idx="10">
                  <c:v>166.27311800000001</c:v>
                </c:pt>
                <c:pt idx="11">
                  <c:v>171.42277799999999</c:v>
                </c:pt>
                <c:pt idx="12">
                  <c:v>171.787229</c:v>
                </c:pt>
                <c:pt idx="13">
                  <c:v>167.540437</c:v>
                </c:pt>
                <c:pt idx="14">
                  <c:v>158.34254899999999</c:v>
                </c:pt>
                <c:pt idx="15">
                  <c:v>146.51186799999999</c:v>
                </c:pt>
                <c:pt idx="16">
                  <c:v>134.093491</c:v>
                </c:pt>
                <c:pt idx="17">
                  <c:v>122.34413000000001</c:v>
                </c:pt>
                <c:pt idx="18">
                  <c:v>112.06044799999999</c:v>
                </c:pt>
                <c:pt idx="19">
                  <c:v>103.731424</c:v>
                </c:pt>
                <c:pt idx="20">
                  <c:v>97.620213000000007</c:v>
                </c:pt>
                <c:pt idx="21">
                  <c:v>93.816805000000002</c:v>
                </c:pt>
                <c:pt idx="22">
                  <c:v>91.669916000000001</c:v>
                </c:pt>
                <c:pt idx="23">
                  <c:v>88.779442000000003</c:v>
                </c:pt>
                <c:pt idx="24">
                  <c:v>85.676033000000004</c:v>
                </c:pt>
                <c:pt idx="25">
                  <c:v>83.126366000000004</c:v>
                </c:pt>
                <c:pt idx="26">
                  <c:v>81.27167</c:v>
                </c:pt>
                <c:pt idx="27">
                  <c:v>79.931999000000005</c:v>
                </c:pt>
                <c:pt idx="28">
                  <c:v>78.814696999999995</c:v>
                </c:pt>
                <c:pt idx="29">
                  <c:v>77.618742999999995</c:v>
                </c:pt>
                <c:pt idx="30">
                  <c:v>76.092055999999999</c:v>
                </c:pt>
                <c:pt idx="31">
                  <c:v>74.071116000000004</c:v>
                </c:pt>
                <c:pt idx="32">
                  <c:v>71.068644000000006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C8-45F9-91BA-CA0E41C8BECF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FIT'!$B$327:$B$386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FIT'!$C$327:$C$386</c:f>
              <c:numCache>
                <c:formatCode>#,##0.00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5.746486</c:v>
                </c:pt>
                <c:pt idx="4">
                  <c:v>37.78481</c:v>
                </c:pt>
                <c:pt idx="5">
                  <c:v>102.791932</c:v>
                </c:pt>
                <c:pt idx="6">
                  <c:v>155.147493</c:v>
                </c:pt>
                <c:pt idx="7">
                  <c:v>157.71058400000001</c:v>
                </c:pt>
                <c:pt idx="8">
                  <c:v>199.490116</c:v>
                </c:pt>
                <c:pt idx="9">
                  <c:v>206.93722500000001</c:v>
                </c:pt>
                <c:pt idx="10">
                  <c:v>161.467277</c:v>
                </c:pt>
                <c:pt idx="11">
                  <c:v>166.16096899999999</c:v>
                </c:pt>
                <c:pt idx="12">
                  <c:v>159.287238</c:v>
                </c:pt>
                <c:pt idx="13">
                  <c:v>135.94052199999999</c:v>
                </c:pt>
                <c:pt idx="14">
                  <c:v>165.70180500000001</c:v>
                </c:pt>
                <c:pt idx="15">
                  <c:v>142.56768400000001</c:v>
                </c:pt>
                <c:pt idx="16">
                  <c:v>145.58863700000001</c:v>
                </c:pt>
                <c:pt idx="17">
                  <c:v>120.763874</c:v>
                </c:pt>
                <c:pt idx="18">
                  <c:v>113.59630799999999</c:v>
                </c:pt>
                <c:pt idx="19">
                  <c:v>81.966014000000001</c:v>
                </c:pt>
                <c:pt idx="20">
                  <c:v>94.460980000000006</c:v>
                </c:pt>
                <c:pt idx="21">
                  <c:v>75.934546999999995</c:v>
                </c:pt>
                <c:pt idx="22">
                  <c:v>90.064278999999999</c:v>
                </c:pt>
                <c:pt idx="23">
                  <c:v>91.645987000000005</c:v>
                </c:pt>
                <c:pt idx="24">
                  <c:v>77.736728999999997</c:v>
                </c:pt>
                <c:pt idx="25">
                  <c:v>108.421797</c:v>
                </c:pt>
                <c:pt idx="26">
                  <c:v>117.640479</c:v>
                </c:pt>
                <c:pt idx="27">
                  <c:v>80.208844999999997</c:v>
                </c:pt>
                <c:pt idx="28">
                  <c:v>70.871639000000002</c:v>
                </c:pt>
                <c:pt idx="29">
                  <c:v>89.389645999999999</c:v>
                </c:pt>
                <c:pt idx="30">
                  <c:v>90.082238000000004</c:v>
                </c:pt>
                <c:pt idx="31">
                  <c:v>73.244033000000002</c:v>
                </c:pt>
                <c:pt idx="32">
                  <c:v>65.273024000000007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C8-45F9-91BA-CA0E41C8B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0880"/>
        <c:axId val="-1079069584"/>
      </c:lineChart>
      <c:catAx>
        <c:axId val="-107906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9584"/>
        <c:crosses val="autoZero"/>
        <c:auto val="1"/>
        <c:lblAlgn val="ctr"/>
        <c:lblOffset val="100"/>
        <c:noMultiLvlLbl val="0"/>
      </c:catAx>
      <c:valAx>
        <c:axId val="-10790695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2"/>
          <c:tx>
            <c:v>Min</c:v>
          </c:tx>
          <c:spPr>
            <a:noFill/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FIT'!$E$391:$E$450</c:f>
              <c:numCache>
                <c:formatCode>#,##0.00</c:formatCode>
                <c:ptCount val="33"/>
                <c:pt idx="0">
                  <c:v>0.49914700000000001</c:v>
                </c:pt>
                <c:pt idx="1">
                  <c:v>6.3487850000000003</c:v>
                </c:pt>
                <c:pt idx="2">
                  <c:v>22.782589000000002</c:v>
                </c:pt>
                <c:pt idx="3">
                  <c:v>51.938079999999999</c:v>
                </c:pt>
                <c:pt idx="4">
                  <c:v>98.859555</c:v>
                </c:pt>
                <c:pt idx="5">
                  <c:v>155.02975599999999</c:v>
                </c:pt>
                <c:pt idx="6">
                  <c:v>221.63731799999999</c:v>
                </c:pt>
                <c:pt idx="7">
                  <c:v>295.59675099999998</c:v>
                </c:pt>
                <c:pt idx="8">
                  <c:v>373.62129900000002</c:v>
                </c:pt>
                <c:pt idx="9">
                  <c:v>452.246014</c:v>
                </c:pt>
                <c:pt idx="10">
                  <c:v>527.86081100000001</c:v>
                </c:pt>
                <c:pt idx="11">
                  <c:v>596.21777999999995</c:v>
                </c:pt>
                <c:pt idx="12">
                  <c:v>655.79459099999997</c:v>
                </c:pt>
                <c:pt idx="13">
                  <c:v>706.25028699999996</c:v>
                </c:pt>
                <c:pt idx="14">
                  <c:v>746.35547199999996</c:v>
                </c:pt>
                <c:pt idx="15">
                  <c:v>775.56054400000005</c:v>
                </c:pt>
                <c:pt idx="16">
                  <c:v>795.20670900000005</c:v>
                </c:pt>
                <c:pt idx="17">
                  <c:v>805.37856099999999</c:v>
                </c:pt>
                <c:pt idx="18">
                  <c:v>806.64634699999999</c:v>
                </c:pt>
                <c:pt idx="19">
                  <c:v>803.24747400000001</c:v>
                </c:pt>
                <c:pt idx="20">
                  <c:v>794.30269899999996</c:v>
                </c:pt>
                <c:pt idx="21">
                  <c:v>783.06113500000004</c:v>
                </c:pt>
                <c:pt idx="22">
                  <c:v>772.06456800000001</c:v>
                </c:pt>
                <c:pt idx="23">
                  <c:v>762.421381</c:v>
                </c:pt>
                <c:pt idx="24">
                  <c:v>755.52188200000001</c:v>
                </c:pt>
                <c:pt idx="25">
                  <c:v>752.58419000000004</c:v>
                </c:pt>
                <c:pt idx="26">
                  <c:v>754.20149200000003</c:v>
                </c:pt>
                <c:pt idx="27">
                  <c:v>758.92030799999998</c:v>
                </c:pt>
                <c:pt idx="28">
                  <c:v>767.66562299999998</c:v>
                </c:pt>
                <c:pt idx="29">
                  <c:v>779.30350799999997</c:v>
                </c:pt>
                <c:pt idx="30">
                  <c:v>794.14763600000003</c:v>
                </c:pt>
                <c:pt idx="31">
                  <c:v>811.42347600000005</c:v>
                </c:pt>
                <c:pt idx="32">
                  <c:v>829.839609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27-4128-BD24-B57C0CD7E89D}"/>
            </c:ext>
          </c:extLst>
        </c:ser>
        <c:ser>
          <c:idx val="4"/>
          <c:order val="3"/>
          <c:tx>
            <c:v>Min-max</c:v>
          </c:tx>
          <c:spPr>
            <a:solidFill>
              <a:schemeClr val="bg1">
                <a:lumMod val="85000"/>
                <a:alpha val="61000"/>
              </a:schemeClr>
            </a:solidFill>
            <a:ln>
              <a:noFill/>
            </a:ln>
            <a:effectLst/>
          </c:spP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FIT'!$G$391:$G$450</c:f>
              <c:numCache>
                <c:formatCode>#,##0.00</c:formatCode>
                <c:ptCount val="33"/>
                <c:pt idx="0">
                  <c:v>2.7737000000000012E-2</c:v>
                </c:pt>
                <c:pt idx="1">
                  <c:v>0.34557699999999958</c:v>
                </c:pt>
                <c:pt idx="2">
                  <c:v>1.2040979999999983</c:v>
                </c:pt>
                <c:pt idx="3">
                  <c:v>2.6721730000000008</c:v>
                </c:pt>
                <c:pt idx="4">
                  <c:v>5.1309689999999932</c:v>
                </c:pt>
                <c:pt idx="5">
                  <c:v>7.6632859999999994</c:v>
                </c:pt>
                <c:pt idx="6">
                  <c:v>10.71786800000001</c:v>
                </c:pt>
                <c:pt idx="7">
                  <c:v>14.14294000000001</c:v>
                </c:pt>
                <c:pt idx="8">
                  <c:v>17.479775999999958</c:v>
                </c:pt>
                <c:pt idx="9">
                  <c:v>20.442754999999977</c:v>
                </c:pt>
                <c:pt idx="10">
                  <c:v>22.623532999999952</c:v>
                </c:pt>
                <c:pt idx="11">
                  <c:v>24.364647000000105</c:v>
                </c:pt>
                <c:pt idx="12">
                  <c:v>25.550765000000069</c:v>
                </c:pt>
                <c:pt idx="13">
                  <c:v>27.305403000000069</c:v>
                </c:pt>
                <c:pt idx="14">
                  <c:v>28.299209000000019</c:v>
                </c:pt>
                <c:pt idx="15">
                  <c:v>28.686658999999963</c:v>
                </c:pt>
                <c:pt idx="16">
                  <c:v>27.866843999999901</c:v>
                </c:pt>
                <c:pt idx="17">
                  <c:v>27.661057000000028</c:v>
                </c:pt>
                <c:pt idx="18">
                  <c:v>29.512452000000053</c:v>
                </c:pt>
                <c:pt idx="19">
                  <c:v>29.641031999999996</c:v>
                </c:pt>
                <c:pt idx="20">
                  <c:v>31.314407000000074</c:v>
                </c:pt>
                <c:pt idx="21">
                  <c:v>32.882430999999997</c:v>
                </c:pt>
                <c:pt idx="22">
                  <c:v>33.730497000000014</c:v>
                </c:pt>
                <c:pt idx="23">
                  <c:v>34.242216999999982</c:v>
                </c:pt>
                <c:pt idx="24">
                  <c:v>34.101550999999972</c:v>
                </c:pt>
                <c:pt idx="25">
                  <c:v>34.675666999999976</c:v>
                </c:pt>
                <c:pt idx="26">
                  <c:v>34.070292999999992</c:v>
                </c:pt>
                <c:pt idx="27">
                  <c:v>34.011448999999971</c:v>
                </c:pt>
                <c:pt idx="28">
                  <c:v>33.55117800000005</c:v>
                </c:pt>
                <c:pt idx="29">
                  <c:v>31.840866000000005</c:v>
                </c:pt>
                <c:pt idx="30">
                  <c:v>29.705703999999969</c:v>
                </c:pt>
                <c:pt idx="31">
                  <c:v>30.014194999999972</c:v>
                </c:pt>
                <c:pt idx="32">
                  <c:v>29.975957999999991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9248"/>
        <c:axId val="-1079065232"/>
      </c:areaChart>
      <c:lineChart>
        <c:grouping val="standard"/>
        <c:varyColors val="0"/>
        <c:ser>
          <c:idx val="1"/>
          <c:order val="0"/>
          <c:tx>
            <c:v>Mean</c:v>
          </c:tx>
          <c:spPr>
            <a:ln w="22225" cap="rnd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FIT'!$D$391:$D$450</c:f>
              <c:numCache>
                <c:formatCode>#,##0.00</c:formatCode>
                <c:ptCount val="33"/>
                <c:pt idx="0">
                  <c:v>0.51230699999999996</c:v>
                </c:pt>
                <c:pt idx="1">
                  <c:v>6.5132500000000002</c:v>
                </c:pt>
                <c:pt idx="2">
                  <c:v>23.360226999999998</c:v>
                </c:pt>
                <c:pt idx="3">
                  <c:v>53.22372</c:v>
                </c:pt>
                <c:pt idx="4">
                  <c:v>101.48038699999999</c:v>
                </c:pt>
                <c:pt idx="5">
                  <c:v>158.77968300000001</c:v>
                </c:pt>
                <c:pt idx="6">
                  <c:v>226.75407000000001</c:v>
                </c:pt>
                <c:pt idx="7">
                  <c:v>302.26388900000001</c:v>
                </c:pt>
                <c:pt idx="8">
                  <c:v>381.66838300000001</c:v>
                </c:pt>
                <c:pt idx="9">
                  <c:v>461.321755</c:v>
                </c:pt>
                <c:pt idx="10">
                  <c:v>537.79042100000004</c:v>
                </c:pt>
                <c:pt idx="11">
                  <c:v>608.06763799999999</c:v>
                </c:pt>
                <c:pt idx="12">
                  <c:v>669.74684200000002</c:v>
                </c:pt>
                <c:pt idx="13">
                  <c:v>721.27330300000006</c:v>
                </c:pt>
                <c:pt idx="14">
                  <c:v>761.72123999999997</c:v>
                </c:pt>
                <c:pt idx="15">
                  <c:v>790.872702</c:v>
                </c:pt>
                <c:pt idx="16">
                  <c:v>809.48420399999998</c:v>
                </c:pt>
                <c:pt idx="17">
                  <c:v>818.84335099999998</c:v>
                </c:pt>
                <c:pt idx="18">
                  <c:v>820.59199599999999</c:v>
                </c:pt>
                <c:pt idx="19">
                  <c:v>816.56697799999995</c:v>
                </c:pt>
                <c:pt idx="20">
                  <c:v>808.66100200000005</c:v>
                </c:pt>
                <c:pt idx="21">
                  <c:v>798.70626400000003</c:v>
                </c:pt>
                <c:pt idx="22">
                  <c:v>788.56417199999999</c:v>
                </c:pt>
                <c:pt idx="23">
                  <c:v>779.72699699999998</c:v>
                </c:pt>
                <c:pt idx="24">
                  <c:v>773.14298399999996</c:v>
                </c:pt>
                <c:pt idx="25">
                  <c:v>769.72087599999998</c:v>
                </c:pt>
                <c:pt idx="26">
                  <c:v>770.06228799999997</c:v>
                </c:pt>
                <c:pt idx="27">
                  <c:v>774.43802000000005</c:v>
                </c:pt>
                <c:pt idx="28">
                  <c:v>782.806059</c:v>
                </c:pt>
                <c:pt idx="29">
                  <c:v>794.823396</c:v>
                </c:pt>
                <c:pt idx="30">
                  <c:v>809.877115</c:v>
                </c:pt>
                <c:pt idx="31">
                  <c:v>827.15084300000001</c:v>
                </c:pt>
                <c:pt idx="32">
                  <c:v>845.804575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27-4128-BD24-B57C0CD7E89D}"/>
            </c:ext>
          </c:extLst>
        </c:ser>
        <c:ser>
          <c:idx val="0"/>
          <c:order val="1"/>
          <c:tx>
            <c:v>Data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numRef>
              <c:f>'GOODNESS OF FIT'!$B$391:$B$450</c:f>
              <c:numCache>
                <c:formatCode>General</c:formatCode>
                <c:ptCount val="3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</c:numCache>
            </c:numRef>
          </c:cat>
          <c:val>
            <c:numRef>
              <c:f>'GOODNESS OF FIT'!$C$391:$C$450</c:f>
              <c:numCache>
                <c:formatCode>#,##0.00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5.746486</c:v>
                </c:pt>
                <c:pt idx="4">
                  <c:v>37.78481</c:v>
                </c:pt>
                <c:pt idx="5">
                  <c:v>116.682733</c:v>
                </c:pt>
                <c:pt idx="6">
                  <c:v>208.64662799999999</c:v>
                </c:pt>
                <c:pt idx="7">
                  <c:v>267.75752499999999</c:v>
                </c:pt>
                <c:pt idx="8">
                  <c:v>434.13627700000001</c:v>
                </c:pt>
                <c:pt idx="9">
                  <c:v>529.897831</c:v>
                </c:pt>
                <c:pt idx="10">
                  <c:v>588.77570600000001</c:v>
                </c:pt>
                <c:pt idx="11">
                  <c:v>660.468976</c:v>
                </c:pt>
                <c:pt idx="12">
                  <c:v>726.16240900000003</c:v>
                </c:pt>
                <c:pt idx="13">
                  <c:v>786.77904699999999</c:v>
                </c:pt>
                <c:pt idx="14">
                  <c:v>797.06817100000001</c:v>
                </c:pt>
                <c:pt idx="15">
                  <c:v>765.11323700000003</c:v>
                </c:pt>
                <c:pt idx="16">
                  <c:v>652.70610199999999</c:v>
                </c:pt>
                <c:pt idx="17">
                  <c:v>342.89888400000001</c:v>
                </c:pt>
                <c:pt idx="18">
                  <c:v>287.07284099999998</c:v>
                </c:pt>
                <c:pt idx="19">
                  <c:v>214.91089099999999</c:v>
                </c:pt>
                <c:pt idx="20">
                  <c:v>230.904617</c:v>
                </c:pt>
                <c:pt idx="21">
                  <c:v>193.11749</c:v>
                </c:pt>
                <c:pt idx="22">
                  <c:v>241.80301</c:v>
                </c:pt>
                <c:pt idx="23">
                  <c:v>228.64256499999999</c:v>
                </c:pt>
                <c:pt idx="24">
                  <c:v>192.398404</c:v>
                </c:pt>
                <c:pt idx="25">
                  <c:v>221.72745900000001</c:v>
                </c:pt>
                <c:pt idx="26">
                  <c:v>230.166155</c:v>
                </c:pt>
                <c:pt idx="27">
                  <c:v>156.40724800000001</c:v>
                </c:pt>
                <c:pt idx="28">
                  <c:v>125.175881</c:v>
                </c:pt>
                <c:pt idx="29">
                  <c:v>134.59820300000001</c:v>
                </c:pt>
                <c:pt idx="30">
                  <c:v>130.568637</c:v>
                </c:pt>
                <c:pt idx="31">
                  <c:v>93.039717999999993</c:v>
                </c:pt>
                <c:pt idx="32">
                  <c:v>81.850300000000004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27-4128-BD24-B57C0CD7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9248"/>
        <c:axId val="-1079065232"/>
      </c:lineChart>
      <c:catAx>
        <c:axId val="-107905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5232"/>
        <c:crosses val="autoZero"/>
        <c:auto val="1"/>
        <c:lblAlgn val="ctr"/>
        <c:lblOffset val="100"/>
        <c:noMultiLvlLbl val="0"/>
      </c:catAx>
      <c:valAx>
        <c:axId val="-10790652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9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5.1809310089277666E-2"/>
          <c:w val="0.12372819444444444"/>
          <c:h val="0.1785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3014083333333335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Alive Min</c:v>
          </c:tx>
          <c:spPr>
            <a:noFill/>
            <a:ln>
              <a:noFill/>
            </a:ln>
            <a:effectLst/>
          </c:spPr>
          <c:cat>
            <c:strRef>
              <c:f>CHARTS!$B$132:$B$191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CHARTS!$D$132:$D$191</c:f>
              <c:numCache>
                <c:formatCode>#,##0.00</c:formatCode>
                <c:ptCount val="60"/>
                <c:pt idx="0">
                  <c:v>229.521502</c:v>
                </c:pt>
                <c:pt idx="1">
                  <c:v>850.27444100000002</c:v>
                </c:pt>
                <c:pt idx="2">
                  <c:v>1771.9824570000001</c:v>
                </c:pt>
                <c:pt idx="3">
                  <c:v>2905.925311</c:v>
                </c:pt>
                <c:pt idx="4">
                  <c:v>4165.0631599999997</c:v>
                </c:pt>
                <c:pt idx="5">
                  <c:v>5437.260687</c:v>
                </c:pt>
                <c:pt idx="6">
                  <c:v>6631.6562999999996</c:v>
                </c:pt>
                <c:pt idx="7">
                  <c:v>7746.2854790000001</c:v>
                </c:pt>
                <c:pt idx="8">
                  <c:v>8752.9529729999995</c:v>
                </c:pt>
                <c:pt idx="9">
                  <c:v>9431.205833</c:v>
                </c:pt>
                <c:pt idx="10">
                  <c:v>9853.9268140000004</c:v>
                </c:pt>
                <c:pt idx="11">
                  <c:v>10098.61904</c:v>
                </c:pt>
                <c:pt idx="12">
                  <c:v>10177.343742999999</c:v>
                </c:pt>
                <c:pt idx="13">
                  <c:v>10049.898751999999</c:v>
                </c:pt>
                <c:pt idx="14">
                  <c:v>9779.0263109999996</c:v>
                </c:pt>
                <c:pt idx="15">
                  <c:v>9577.1694339999995</c:v>
                </c:pt>
                <c:pt idx="16">
                  <c:v>9488.187688</c:v>
                </c:pt>
                <c:pt idx="17">
                  <c:v>9704.0365820000006</c:v>
                </c:pt>
                <c:pt idx="18">
                  <c:v>10013.453788999999</c:v>
                </c:pt>
                <c:pt idx="19">
                  <c:v>10388.802448</c:v>
                </c:pt>
                <c:pt idx="20">
                  <c:v>10786.609403</c:v>
                </c:pt>
                <c:pt idx="21">
                  <c:v>11233.964045000001</c:v>
                </c:pt>
                <c:pt idx="22">
                  <c:v>11760.476178000001</c:v>
                </c:pt>
                <c:pt idx="23">
                  <c:v>12373.696830999999</c:v>
                </c:pt>
                <c:pt idx="24">
                  <c:v>13134.614277999999</c:v>
                </c:pt>
                <c:pt idx="25">
                  <c:v>13889.377173000001</c:v>
                </c:pt>
                <c:pt idx="26">
                  <c:v>14680.560341</c:v>
                </c:pt>
                <c:pt idx="27">
                  <c:v>15523.727207</c:v>
                </c:pt>
                <c:pt idx="28">
                  <c:v>16420.035780999999</c:v>
                </c:pt>
                <c:pt idx="29">
                  <c:v>17378.071618999998</c:v>
                </c:pt>
                <c:pt idx="30">
                  <c:v>18286.975989999999</c:v>
                </c:pt>
                <c:pt idx="31">
                  <c:v>19210.239599</c:v>
                </c:pt>
                <c:pt idx="32">
                  <c:v>20161.005269000001</c:v>
                </c:pt>
                <c:pt idx="33">
                  <c:v>21050.576120000002</c:v>
                </c:pt>
                <c:pt idx="34">
                  <c:v>21826.256105</c:v>
                </c:pt>
                <c:pt idx="35">
                  <c:v>22668.192985000001</c:v>
                </c:pt>
                <c:pt idx="36">
                  <c:v>23378.633892000002</c:v>
                </c:pt>
                <c:pt idx="37">
                  <c:v>23933.655696999998</c:v>
                </c:pt>
                <c:pt idx="38">
                  <c:v>24436.44411</c:v>
                </c:pt>
                <c:pt idx="39">
                  <c:v>24839.484734000001</c:v>
                </c:pt>
                <c:pt idx="40">
                  <c:v>25117.900113</c:v>
                </c:pt>
                <c:pt idx="41">
                  <c:v>25128.833753999999</c:v>
                </c:pt>
                <c:pt idx="42">
                  <c:v>25019.314990999999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7-4209-B79E-818E68A68B06}"/>
            </c:ext>
          </c:extLst>
        </c:ser>
        <c:ser>
          <c:idx val="4"/>
          <c:order val="2"/>
          <c:tx>
            <c:v>Alive Min-max</c:v>
          </c:tx>
          <c:spPr>
            <a:solidFill>
              <a:srgbClr val="69B023">
                <a:alpha val="20000"/>
              </a:srgbClr>
            </a:solidFill>
            <a:ln>
              <a:noFill/>
            </a:ln>
            <a:effectLst/>
          </c:spPr>
          <c:cat>
            <c:strRef>
              <c:f>CHARTS!$B$132:$B$191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CHARTS!$F$132:$F$191</c:f>
              <c:numCache>
                <c:formatCode>#,##0.00</c:formatCode>
                <c:ptCount val="60"/>
                <c:pt idx="0">
                  <c:v>12.625247000000002</c:v>
                </c:pt>
                <c:pt idx="1">
                  <c:v>45.117615999999998</c:v>
                </c:pt>
                <c:pt idx="2">
                  <c:v>90.853249999999889</c:v>
                </c:pt>
                <c:pt idx="3">
                  <c:v>143.65554900000006</c:v>
                </c:pt>
                <c:pt idx="4">
                  <c:v>202.93379300000015</c:v>
                </c:pt>
                <c:pt idx="5">
                  <c:v>264.34611599999971</c:v>
                </c:pt>
                <c:pt idx="6">
                  <c:v>325.62338600000021</c:v>
                </c:pt>
                <c:pt idx="7">
                  <c:v>374.88785999999982</c:v>
                </c:pt>
                <c:pt idx="8">
                  <c:v>405.38471300000128</c:v>
                </c:pt>
                <c:pt idx="9">
                  <c:v>436.6929880000007</c:v>
                </c:pt>
                <c:pt idx="10">
                  <c:v>455.59034500000053</c:v>
                </c:pt>
                <c:pt idx="11">
                  <c:v>489.2417889999997</c:v>
                </c:pt>
                <c:pt idx="12">
                  <c:v>516.79855599999973</c:v>
                </c:pt>
                <c:pt idx="13">
                  <c:v>538.30374200000006</c:v>
                </c:pt>
                <c:pt idx="14">
                  <c:v>545.00462599999992</c:v>
                </c:pt>
                <c:pt idx="15">
                  <c:v>537.8896850000001</c:v>
                </c:pt>
                <c:pt idx="16">
                  <c:v>558.56502600000022</c:v>
                </c:pt>
                <c:pt idx="17">
                  <c:v>584.17547999999988</c:v>
                </c:pt>
                <c:pt idx="18">
                  <c:v>621.89488100000017</c:v>
                </c:pt>
                <c:pt idx="19">
                  <c:v>632.49553699999888</c:v>
                </c:pt>
                <c:pt idx="20">
                  <c:v>642.70114199999989</c:v>
                </c:pt>
                <c:pt idx="21">
                  <c:v>662.18037699999877</c:v>
                </c:pt>
                <c:pt idx="22">
                  <c:v>672.26128699999936</c:v>
                </c:pt>
                <c:pt idx="23">
                  <c:v>661.52828000000045</c:v>
                </c:pt>
                <c:pt idx="24">
                  <c:v>640.96910400000161</c:v>
                </c:pt>
                <c:pt idx="25">
                  <c:v>630.86924399999953</c:v>
                </c:pt>
                <c:pt idx="26">
                  <c:v>615.95471700000053</c:v>
                </c:pt>
                <c:pt idx="27">
                  <c:v>604.94107900000017</c:v>
                </c:pt>
                <c:pt idx="28">
                  <c:v>613.7250520000016</c:v>
                </c:pt>
                <c:pt idx="29">
                  <c:v>617.55880400000024</c:v>
                </c:pt>
                <c:pt idx="30">
                  <c:v>630.67801400000099</c:v>
                </c:pt>
                <c:pt idx="31">
                  <c:v>657.34722200000033</c:v>
                </c:pt>
                <c:pt idx="32">
                  <c:v>650.88873799999783</c:v>
                </c:pt>
                <c:pt idx="33">
                  <c:v>633.16668899999786</c:v>
                </c:pt>
                <c:pt idx="34">
                  <c:v>641.95256399999926</c:v>
                </c:pt>
                <c:pt idx="35">
                  <c:v>663.28815499999837</c:v>
                </c:pt>
                <c:pt idx="36">
                  <c:v>694.72059999999692</c:v>
                </c:pt>
                <c:pt idx="37">
                  <c:v>721.39009100000112</c:v>
                </c:pt>
                <c:pt idx="38">
                  <c:v>764.32397700000001</c:v>
                </c:pt>
                <c:pt idx="39">
                  <c:v>828.63062399999762</c:v>
                </c:pt>
                <c:pt idx="40">
                  <c:v>932.30573999999979</c:v>
                </c:pt>
                <c:pt idx="41">
                  <c:v>1083.707026</c:v>
                </c:pt>
                <c:pt idx="42">
                  <c:v>1286.6556359999995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1968"/>
        <c:axId val="-1079063600"/>
      </c:areaChart>
      <c:areaChart>
        <c:grouping val="stacked"/>
        <c:varyColors val="0"/>
        <c:ser>
          <c:idx val="3"/>
          <c:order val="4"/>
          <c:tx>
            <c:v>Diagnosed Min</c:v>
          </c:tx>
          <c:spPr>
            <a:noFill/>
            <a:ln>
              <a:noFill/>
            </a:ln>
            <a:effectLst/>
          </c:spPr>
          <c:val>
            <c:numRef>
              <c:f>CHARTS!$H$132:$H$191</c:f>
              <c:numCache>
                <c:formatCode>#,##0.00</c:formatCode>
                <c:ptCount val="60"/>
                <c:pt idx="0">
                  <c:v>0.49914700000000001</c:v>
                </c:pt>
                <c:pt idx="1">
                  <c:v>5.5309850000000003</c:v>
                </c:pt>
                <c:pt idx="2">
                  <c:v>28.313575</c:v>
                </c:pt>
                <c:pt idx="3">
                  <c:v>76.549611999999996</c:v>
                </c:pt>
                <c:pt idx="4">
                  <c:v>575.97982300000001</c:v>
                </c:pt>
                <c:pt idx="5">
                  <c:v>1177.2252510000001</c:v>
                </c:pt>
                <c:pt idx="6">
                  <c:v>1871.0509059999999</c:v>
                </c:pt>
                <c:pt idx="7">
                  <c:v>2667.8321000000001</c:v>
                </c:pt>
                <c:pt idx="8">
                  <c:v>3558.93316</c:v>
                </c:pt>
                <c:pt idx="9">
                  <c:v>4346.8703750000004</c:v>
                </c:pt>
                <c:pt idx="10">
                  <c:v>5025.987126</c:v>
                </c:pt>
                <c:pt idx="11">
                  <c:v>5647.7732130000004</c:v>
                </c:pt>
                <c:pt idx="12">
                  <c:v>6166.6828249999999</c:v>
                </c:pt>
                <c:pt idx="13">
                  <c:v>6488.5738339999998</c:v>
                </c:pt>
                <c:pt idx="14">
                  <c:v>6639.697561</c:v>
                </c:pt>
                <c:pt idx="15">
                  <c:v>6816.9574819999998</c:v>
                </c:pt>
                <c:pt idx="16">
                  <c:v>7063.9702429999998</c:v>
                </c:pt>
                <c:pt idx="17">
                  <c:v>7516.8342720000001</c:v>
                </c:pt>
                <c:pt idx="18">
                  <c:v>8017.7210489999998</c:v>
                </c:pt>
                <c:pt idx="19">
                  <c:v>8496.4709860000003</c:v>
                </c:pt>
                <c:pt idx="20">
                  <c:v>8944.0289680000005</c:v>
                </c:pt>
                <c:pt idx="21">
                  <c:v>9409.7240359999996</c:v>
                </c:pt>
                <c:pt idx="22">
                  <c:v>9910.8680430000004</c:v>
                </c:pt>
                <c:pt idx="23">
                  <c:v>10444.592936999999</c:v>
                </c:pt>
                <c:pt idx="24">
                  <c:v>11088.578416</c:v>
                </c:pt>
                <c:pt idx="25">
                  <c:v>11725.995269999999</c:v>
                </c:pt>
                <c:pt idx="26">
                  <c:v>12392.685326999999</c:v>
                </c:pt>
                <c:pt idx="27">
                  <c:v>13113.833837</c:v>
                </c:pt>
                <c:pt idx="28">
                  <c:v>13902.502549999999</c:v>
                </c:pt>
                <c:pt idx="29">
                  <c:v>14774.087705</c:v>
                </c:pt>
                <c:pt idx="30">
                  <c:v>15608.622434999999</c:v>
                </c:pt>
                <c:pt idx="31">
                  <c:v>16489.222226999998</c:v>
                </c:pt>
                <c:pt idx="32">
                  <c:v>17409.308489999999</c:v>
                </c:pt>
                <c:pt idx="33">
                  <c:v>18269.575278</c:v>
                </c:pt>
                <c:pt idx="34">
                  <c:v>19034.513628000001</c:v>
                </c:pt>
                <c:pt idx="35">
                  <c:v>19871.542334999998</c:v>
                </c:pt>
                <c:pt idx="36">
                  <c:v>20593.255660999999</c:v>
                </c:pt>
                <c:pt idx="37">
                  <c:v>21194.990224000001</c:v>
                </c:pt>
                <c:pt idx="38">
                  <c:v>21782.325349999999</c:v>
                </c:pt>
                <c:pt idx="39">
                  <c:v>22305.801890999999</c:v>
                </c:pt>
                <c:pt idx="40">
                  <c:v>22683.180974999999</c:v>
                </c:pt>
                <c:pt idx="41">
                  <c:v>22920.342349999999</c:v>
                </c:pt>
                <c:pt idx="42">
                  <c:v>23219.725019000001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7-4209-B79E-818E68A68B06}"/>
            </c:ext>
          </c:extLst>
        </c:ser>
        <c:ser>
          <c:idx val="5"/>
          <c:order val="5"/>
          <c:tx>
            <c:v>Diagnosed Min-max</c:v>
          </c:tx>
          <c:spPr>
            <a:solidFill>
              <a:srgbClr val="9D8B56">
                <a:alpha val="20000"/>
              </a:srgbClr>
            </a:solidFill>
            <a:ln>
              <a:noFill/>
            </a:ln>
            <a:effectLst/>
          </c:spPr>
          <c:val>
            <c:numRef>
              <c:f>CHARTS!$J$132:$J$191</c:f>
              <c:numCache>
                <c:formatCode>#,##0.00</c:formatCode>
                <c:ptCount val="60"/>
                <c:pt idx="0">
                  <c:v>2.7737000000000012E-2</c:v>
                </c:pt>
                <c:pt idx="1">
                  <c:v>0.37342099999999956</c:v>
                </c:pt>
                <c:pt idx="2">
                  <c:v>1.5768710000000006</c:v>
                </c:pt>
                <c:pt idx="3">
                  <c:v>4.247509000000008</c:v>
                </c:pt>
                <c:pt idx="4">
                  <c:v>88.106972000000042</c:v>
                </c:pt>
                <c:pt idx="5">
                  <c:v>166.69144399999982</c:v>
                </c:pt>
                <c:pt idx="6">
                  <c:v>238.28697899999997</c:v>
                </c:pt>
                <c:pt idx="7">
                  <c:v>310.91778699999986</c:v>
                </c:pt>
                <c:pt idx="8">
                  <c:v>373.71025899999995</c:v>
                </c:pt>
                <c:pt idx="9">
                  <c:v>419.51017199999933</c:v>
                </c:pt>
                <c:pt idx="10">
                  <c:v>470.038724</c:v>
                </c:pt>
                <c:pt idx="11">
                  <c:v>496.77149599999939</c:v>
                </c:pt>
                <c:pt idx="12">
                  <c:v>533.58925999999974</c:v>
                </c:pt>
                <c:pt idx="13">
                  <c:v>561.35251299999982</c:v>
                </c:pt>
                <c:pt idx="14">
                  <c:v>562.00390900000002</c:v>
                </c:pt>
                <c:pt idx="15">
                  <c:v>536.93904800000018</c:v>
                </c:pt>
                <c:pt idx="16">
                  <c:v>504.46901400000024</c:v>
                </c:pt>
                <c:pt idx="17">
                  <c:v>510.12331300000005</c:v>
                </c:pt>
                <c:pt idx="18">
                  <c:v>504.93862099999933</c:v>
                </c:pt>
                <c:pt idx="19">
                  <c:v>506.08380600000055</c:v>
                </c:pt>
                <c:pt idx="20">
                  <c:v>508.52376100000038</c:v>
                </c:pt>
                <c:pt idx="21">
                  <c:v>506.49636500000088</c:v>
                </c:pt>
                <c:pt idx="22">
                  <c:v>509.47690299999886</c:v>
                </c:pt>
                <c:pt idx="23">
                  <c:v>513.02604200000133</c:v>
                </c:pt>
                <c:pt idx="24">
                  <c:v>529.04756400000042</c:v>
                </c:pt>
                <c:pt idx="25">
                  <c:v>547.02486200000021</c:v>
                </c:pt>
                <c:pt idx="26">
                  <c:v>561.67990400000053</c:v>
                </c:pt>
                <c:pt idx="27">
                  <c:v>572.12502499999937</c:v>
                </c:pt>
                <c:pt idx="28">
                  <c:v>579.32531500000005</c:v>
                </c:pt>
                <c:pt idx="29">
                  <c:v>578.92061300000023</c:v>
                </c:pt>
                <c:pt idx="30">
                  <c:v>588.17075100000147</c:v>
                </c:pt>
                <c:pt idx="31">
                  <c:v>612.11732200000188</c:v>
                </c:pt>
                <c:pt idx="32">
                  <c:v>635.7189810000018</c:v>
                </c:pt>
                <c:pt idx="33">
                  <c:v>635.84190500000113</c:v>
                </c:pt>
                <c:pt idx="34">
                  <c:v>630.33833700000105</c:v>
                </c:pt>
                <c:pt idx="35">
                  <c:v>629.20503200000167</c:v>
                </c:pt>
                <c:pt idx="36">
                  <c:v>638.10764000000199</c:v>
                </c:pt>
                <c:pt idx="37">
                  <c:v>652.26188899999761</c:v>
                </c:pt>
                <c:pt idx="38">
                  <c:v>662.63084600000002</c:v>
                </c:pt>
                <c:pt idx="39">
                  <c:v>692.74210500000117</c:v>
                </c:pt>
                <c:pt idx="40">
                  <c:v>706.59600100000171</c:v>
                </c:pt>
                <c:pt idx="41">
                  <c:v>712.93188500000178</c:v>
                </c:pt>
                <c:pt idx="42">
                  <c:v>730.28969399999914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4688"/>
        <c:axId val="-1079061424"/>
      </c:areaChart>
      <c:lineChart>
        <c:grouping val="standard"/>
        <c:varyColors val="0"/>
        <c:ser>
          <c:idx val="0"/>
          <c:order val="0"/>
          <c:tx>
            <c:v>Alive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strRef>
              <c:f>CHARTS!$B$132:$B$191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CHARTS!$C$132:$C$191</c:f>
              <c:numCache>
                <c:formatCode>#,##0.00</c:formatCode>
                <c:ptCount val="60"/>
                <c:pt idx="0">
                  <c:v>235.512216</c:v>
                </c:pt>
                <c:pt idx="1">
                  <c:v>871.91183699999999</c:v>
                </c:pt>
                <c:pt idx="2">
                  <c:v>1815.7133610000001</c:v>
                </c:pt>
                <c:pt idx="3">
                  <c:v>2975.3623990000001</c:v>
                </c:pt>
                <c:pt idx="4">
                  <c:v>4261.4428749999997</c:v>
                </c:pt>
                <c:pt idx="5">
                  <c:v>5561.0699219999997</c:v>
                </c:pt>
                <c:pt idx="6">
                  <c:v>6782.683575</c:v>
                </c:pt>
                <c:pt idx="7">
                  <c:v>7913.7844100000002</c:v>
                </c:pt>
                <c:pt idx="8">
                  <c:v>8933.4379289999997</c:v>
                </c:pt>
                <c:pt idx="9">
                  <c:v>9647.1744510000008</c:v>
                </c:pt>
                <c:pt idx="10">
                  <c:v>10104.259388</c:v>
                </c:pt>
                <c:pt idx="11">
                  <c:v>10365.061793000001</c:v>
                </c:pt>
                <c:pt idx="12">
                  <c:v>10456.218985</c:v>
                </c:pt>
                <c:pt idx="13">
                  <c:v>10337.683141</c:v>
                </c:pt>
                <c:pt idx="14">
                  <c:v>10063.449151999999</c:v>
                </c:pt>
                <c:pt idx="15">
                  <c:v>9846.8528229999993</c:v>
                </c:pt>
                <c:pt idx="16">
                  <c:v>9757.8786319999999</c:v>
                </c:pt>
                <c:pt idx="17">
                  <c:v>9980.5342380000002</c:v>
                </c:pt>
                <c:pt idx="18">
                  <c:v>10306.68052</c:v>
                </c:pt>
                <c:pt idx="19">
                  <c:v>10679.492902</c:v>
                </c:pt>
                <c:pt idx="20">
                  <c:v>11079.374400999999</c:v>
                </c:pt>
                <c:pt idx="21">
                  <c:v>11543.256987000001</c:v>
                </c:pt>
                <c:pt idx="22">
                  <c:v>12082.078731</c:v>
                </c:pt>
                <c:pt idx="23">
                  <c:v>12691.761509</c:v>
                </c:pt>
                <c:pt idx="24">
                  <c:v>13443.927795</c:v>
                </c:pt>
                <c:pt idx="25">
                  <c:v>14204.525755999999</c:v>
                </c:pt>
                <c:pt idx="26">
                  <c:v>15000.220899</c:v>
                </c:pt>
                <c:pt idx="27">
                  <c:v>15847.478179</c:v>
                </c:pt>
                <c:pt idx="28">
                  <c:v>16751.153838999999</c:v>
                </c:pt>
                <c:pt idx="29">
                  <c:v>17713.682776000001</c:v>
                </c:pt>
                <c:pt idx="30">
                  <c:v>18625.945328000002</c:v>
                </c:pt>
                <c:pt idx="31">
                  <c:v>19554.304210999999</c:v>
                </c:pt>
                <c:pt idx="32">
                  <c:v>20506.299851</c:v>
                </c:pt>
                <c:pt idx="33">
                  <c:v>21392.718637999998</c:v>
                </c:pt>
                <c:pt idx="34">
                  <c:v>22172.094549000001</c:v>
                </c:pt>
                <c:pt idx="35">
                  <c:v>23013.100398999999</c:v>
                </c:pt>
                <c:pt idx="36">
                  <c:v>23727.387878000001</c:v>
                </c:pt>
                <c:pt idx="37">
                  <c:v>24300.096127000001</c:v>
                </c:pt>
                <c:pt idx="38">
                  <c:v>24822.897336000002</c:v>
                </c:pt>
                <c:pt idx="39">
                  <c:v>25248.44686</c:v>
                </c:pt>
                <c:pt idx="40">
                  <c:v>25581.799705000001</c:v>
                </c:pt>
                <c:pt idx="41">
                  <c:v>25687.451754000002</c:v>
                </c:pt>
                <c:pt idx="42">
                  <c:v>25690.799943000002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1968"/>
        <c:axId val="-1079063600"/>
      </c:lineChart>
      <c:lineChart>
        <c:grouping val="standard"/>
        <c:varyColors val="0"/>
        <c:ser>
          <c:idx val="1"/>
          <c:order val="3"/>
          <c:tx>
            <c:v>Diagnosed</c:v>
          </c:tx>
          <c:spPr>
            <a:ln w="22225" cap="rnd">
              <a:solidFill>
                <a:srgbClr val="9D8B56"/>
              </a:solidFill>
              <a:round/>
            </a:ln>
            <a:effectLst/>
          </c:spPr>
          <c:marker>
            <c:symbol val="none"/>
          </c:marker>
          <c:val>
            <c:numRef>
              <c:f>CHARTS!$G$132:$G$191</c:f>
              <c:numCache>
                <c:formatCode>#,##0.00</c:formatCode>
                <c:ptCount val="60"/>
                <c:pt idx="0">
                  <c:v>0.51230699999999996</c:v>
                </c:pt>
                <c:pt idx="1">
                  <c:v>5.7086100000000002</c:v>
                </c:pt>
                <c:pt idx="2">
                  <c:v>29.068836999999998</c:v>
                </c:pt>
                <c:pt idx="3">
                  <c:v>78.590513999999999</c:v>
                </c:pt>
                <c:pt idx="4">
                  <c:v>625.44244800000001</c:v>
                </c:pt>
                <c:pt idx="5">
                  <c:v>1269.2312939999999</c:v>
                </c:pt>
                <c:pt idx="6">
                  <c:v>2001.5278450000001</c:v>
                </c:pt>
                <c:pt idx="7">
                  <c:v>2842.6697680000002</c:v>
                </c:pt>
                <c:pt idx="8">
                  <c:v>3774.2337339999999</c:v>
                </c:pt>
                <c:pt idx="9">
                  <c:v>4583.6592220000002</c:v>
                </c:pt>
                <c:pt idx="10">
                  <c:v>5288.4829849999996</c:v>
                </c:pt>
                <c:pt idx="11">
                  <c:v>5909.4416140000003</c:v>
                </c:pt>
                <c:pt idx="12">
                  <c:v>6430.2664699999996</c:v>
                </c:pt>
                <c:pt idx="13">
                  <c:v>6760.6848909999999</c:v>
                </c:pt>
                <c:pt idx="14">
                  <c:v>6911.4969339999998</c:v>
                </c:pt>
                <c:pt idx="15">
                  <c:v>7069.8117460000003</c:v>
                </c:pt>
                <c:pt idx="16">
                  <c:v>7290.9405930000003</c:v>
                </c:pt>
                <c:pt idx="17">
                  <c:v>7753.460255</c:v>
                </c:pt>
                <c:pt idx="18">
                  <c:v>8250.0374460000003</c:v>
                </c:pt>
                <c:pt idx="19">
                  <c:v>8728.7218279999997</c:v>
                </c:pt>
                <c:pt idx="20">
                  <c:v>9177.3032660000008</c:v>
                </c:pt>
                <c:pt idx="21">
                  <c:v>9641.5144980000005</c:v>
                </c:pt>
                <c:pt idx="22">
                  <c:v>10141.361392000001</c:v>
                </c:pt>
                <c:pt idx="23">
                  <c:v>10680.109925000001</c:v>
                </c:pt>
                <c:pt idx="24">
                  <c:v>11336.949048</c:v>
                </c:pt>
                <c:pt idx="25">
                  <c:v>11986.188118</c:v>
                </c:pt>
                <c:pt idx="26">
                  <c:v>12663.176718000001</c:v>
                </c:pt>
                <c:pt idx="27">
                  <c:v>13393.023298</c:v>
                </c:pt>
                <c:pt idx="28">
                  <c:v>14189.005981</c:v>
                </c:pt>
                <c:pt idx="29">
                  <c:v>15061.319031999999</c:v>
                </c:pt>
                <c:pt idx="30">
                  <c:v>15906.410744999999</c:v>
                </c:pt>
                <c:pt idx="31">
                  <c:v>16793.961154000001</c:v>
                </c:pt>
                <c:pt idx="32">
                  <c:v>17716.90006</c:v>
                </c:pt>
                <c:pt idx="33">
                  <c:v>18574.748044</c:v>
                </c:pt>
                <c:pt idx="34">
                  <c:v>19334.003990000001</c:v>
                </c:pt>
                <c:pt idx="35">
                  <c:v>20170.542314999999</c:v>
                </c:pt>
                <c:pt idx="36">
                  <c:v>20901.851489000001</c:v>
                </c:pt>
                <c:pt idx="37">
                  <c:v>21517.921758</c:v>
                </c:pt>
                <c:pt idx="38">
                  <c:v>22114.838801000002</c:v>
                </c:pt>
                <c:pt idx="39">
                  <c:v>22649.691335</c:v>
                </c:pt>
                <c:pt idx="40">
                  <c:v>23055.505438</c:v>
                </c:pt>
                <c:pt idx="41">
                  <c:v>23289.692637</c:v>
                </c:pt>
                <c:pt idx="42">
                  <c:v>23588.312385000001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E7-4209-B79E-818E68A68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4688"/>
        <c:axId val="-1079061424"/>
      </c:lineChart>
      <c:catAx>
        <c:axId val="-107906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3600"/>
        <c:crosses val="autoZero"/>
        <c:auto val="1"/>
        <c:lblAlgn val="ctr"/>
        <c:lblOffset val="100"/>
        <c:noMultiLvlLbl val="0"/>
      </c:catAx>
      <c:valAx>
        <c:axId val="-1079063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1968"/>
        <c:crosses val="autoZero"/>
        <c:crossBetween val="between"/>
      </c:valAx>
      <c:valAx>
        <c:axId val="-1079061424"/>
        <c:scaling>
          <c:orientation val="minMax"/>
        </c:scaling>
        <c:delete val="0"/>
        <c:axPos val="r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4688"/>
        <c:crosses val="max"/>
        <c:crossBetween val="between"/>
      </c:valAx>
      <c:catAx>
        <c:axId val="-1079064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79061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180634722222222"/>
          <c:y val="4.8290833333333331E-2"/>
          <c:w val="0.18193652777777777"/>
          <c:h val="0.252361666666666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strRef>
              <c:f>CHARTS!$B$196:$B$255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CHARTS!$D$196:$D$255</c:f>
              <c:numCache>
                <c:formatCode>#,##0.00</c:formatCode>
                <c:ptCount val="60"/>
                <c:pt idx="0">
                  <c:v>99.782399999999996</c:v>
                </c:pt>
                <c:pt idx="1">
                  <c:v>99.340821000000005</c:v>
                </c:pt>
                <c:pt idx="2">
                  <c:v>98.395515000000003</c:v>
                </c:pt>
                <c:pt idx="3">
                  <c:v>97.350541000000007</c:v>
                </c:pt>
                <c:pt idx="4">
                  <c:v>84.562702999999999</c:v>
                </c:pt>
                <c:pt idx="5">
                  <c:v>76.045195000000007</c:v>
                </c:pt>
                <c:pt idx="6">
                  <c:v>69.130652999999995</c:v>
                </c:pt>
                <c:pt idx="7">
                  <c:v>62.662157000000001</c:v>
                </c:pt>
                <c:pt idx="8">
                  <c:v>56.328074000000001</c:v>
                </c:pt>
                <c:pt idx="9">
                  <c:v>50.927371999999998</c:v>
                </c:pt>
                <c:pt idx="10">
                  <c:v>45.808602999999998</c:v>
                </c:pt>
                <c:pt idx="11">
                  <c:v>41.099491</c:v>
                </c:pt>
                <c:pt idx="12">
                  <c:v>36.578966999999999</c:v>
                </c:pt>
                <c:pt idx="13">
                  <c:v>32.718808000000003</c:v>
                </c:pt>
                <c:pt idx="14">
                  <c:v>29.457339999999999</c:v>
                </c:pt>
                <c:pt idx="15">
                  <c:v>26.498314000000001</c:v>
                </c:pt>
                <c:pt idx="16">
                  <c:v>23.730865999999999</c:v>
                </c:pt>
                <c:pt idx="17">
                  <c:v>21.08182</c:v>
                </c:pt>
                <c:pt idx="18">
                  <c:v>18.779668999999998</c:v>
                </c:pt>
                <c:pt idx="19">
                  <c:v>17.231909999999999</c:v>
                </c:pt>
                <c:pt idx="20">
                  <c:v>16.221603000000002</c:v>
                </c:pt>
                <c:pt idx="21">
                  <c:v>15.561455</c:v>
                </c:pt>
                <c:pt idx="22">
                  <c:v>15.196350000000001</c:v>
                </c:pt>
                <c:pt idx="23">
                  <c:v>15.03177</c:v>
                </c:pt>
                <c:pt idx="24">
                  <c:v>14.912419999999999</c:v>
                </c:pt>
                <c:pt idx="25">
                  <c:v>14.93332</c:v>
                </c:pt>
                <c:pt idx="26">
                  <c:v>14.916793999999999</c:v>
                </c:pt>
                <c:pt idx="27">
                  <c:v>14.847697</c:v>
                </c:pt>
                <c:pt idx="28">
                  <c:v>14.692430999999999</c:v>
                </c:pt>
                <c:pt idx="29">
                  <c:v>14.373322</c:v>
                </c:pt>
                <c:pt idx="30">
                  <c:v>14.000914</c:v>
                </c:pt>
                <c:pt idx="31">
                  <c:v>13.507312000000001</c:v>
                </c:pt>
                <c:pt idx="32">
                  <c:v>13.016548</c:v>
                </c:pt>
                <c:pt idx="33">
                  <c:v>12.641515</c:v>
                </c:pt>
                <c:pt idx="34">
                  <c:v>12.292903000000001</c:v>
                </c:pt>
                <c:pt idx="35">
                  <c:v>11.865321</c:v>
                </c:pt>
                <c:pt idx="36">
                  <c:v>11.43765</c:v>
                </c:pt>
                <c:pt idx="37">
                  <c:v>10.94369</c:v>
                </c:pt>
                <c:pt idx="38">
                  <c:v>10.378894000000001</c:v>
                </c:pt>
                <c:pt idx="39">
                  <c:v>9.6608339999999995</c:v>
                </c:pt>
                <c:pt idx="40">
                  <c:v>9.0147580000000005</c:v>
                </c:pt>
                <c:pt idx="41">
                  <c:v>8.0919690000000006</c:v>
                </c:pt>
                <c:pt idx="42">
                  <c:v>6.5390050000000004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A2-4D7A-926D-44A239A5ABF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strRef>
              <c:f>CHARTS!$B$196:$B$255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CHARTS!$F$196:$F$255</c:f>
              <c:numCache>
                <c:formatCode>#,##0.00</c:formatCode>
                <c:ptCount val="60"/>
                <c:pt idx="0">
                  <c:v>1.5299999999740521E-4</c:v>
                </c:pt>
                <c:pt idx="1">
                  <c:v>8.7509999999895172E-3</c:v>
                </c:pt>
                <c:pt idx="2">
                  <c:v>6.6379999999952588E-3</c:v>
                </c:pt>
                <c:pt idx="3">
                  <c:v>1.5199999999992997E-2</c:v>
                </c:pt>
                <c:pt idx="4">
                  <c:v>1.9304950000000076</c:v>
                </c:pt>
                <c:pt idx="5">
                  <c:v>2.9411039999999957</c:v>
                </c:pt>
                <c:pt idx="6">
                  <c:v>3.4400150000000025</c:v>
                </c:pt>
                <c:pt idx="7">
                  <c:v>3.6582229999999996</c:v>
                </c:pt>
                <c:pt idx="8">
                  <c:v>3.6901539999999997</c:v>
                </c:pt>
                <c:pt idx="9">
                  <c:v>3.7127219999999994</c:v>
                </c:pt>
                <c:pt idx="10">
                  <c:v>3.8724479999999986</c:v>
                </c:pt>
                <c:pt idx="11">
                  <c:v>3.8271859999999975</c:v>
                </c:pt>
                <c:pt idx="12">
                  <c:v>4.0329419999999985</c:v>
                </c:pt>
                <c:pt idx="13">
                  <c:v>3.8385660000000001</c:v>
                </c:pt>
                <c:pt idx="14">
                  <c:v>3.721546</c:v>
                </c:pt>
                <c:pt idx="15">
                  <c:v>3.208359999999999</c:v>
                </c:pt>
                <c:pt idx="16">
                  <c:v>2.8853580000000001</c:v>
                </c:pt>
                <c:pt idx="17">
                  <c:v>2.2883019999999981</c:v>
                </c:pt>
                <c:pt idx="18">
                  <c:v>2.067376000000003</c:v>
                </c:pt>
                <c:pt idx="19">
                  <c:v>1.8389780000000009</c:v>
                </c:pt>
                <c:pt idx="20">
                  <c:v>1.7263619999999982</c:v>
                </c:pt>
                <c:pt idx="21">
                  <c:v>1.7327549999999992</c:v>
                </c:pt>
                <c:pt idx="22">
                  <c:v>1.7002830000000007</c:v>
                </c:pt>
                <c:pt idx="23">
                  <c:v>1.6103269999999998</c:v>
                </c:pt>
                <c:pt idx="24">
                  <c:v>1.4807780000000026</c:v>
                </c:pt>
                <c:pt idx="25">
                  <c:v>1.4101440000000007</c:v>
                </c:pt>
                <c:pt idx="26">
                  <c:v>1.2837689999999995</c:v>
                </c:pt>
                <c:pt idx="27">
                  <c:v>1.2239350000000009</c:v>
                </c:pt>
                <c:pt idx="28">
                  <c:v>1.1839370000000002</c:v>
                </c:pt>
                <c:pt idx="29">
                  <c:v>1.1450890000000005</c:v>
                </c:pt>
                <c:pt idx="30">
                  <c:v>1.1612019999999994</c:v>
                </c:pt>
                <c:pt idx="31">
                  <c:v>1.2049289999999999</c:v>
                </c:pt>
                <c:pt idx="32">
                  <c:v>1.2514310000000002</c:v>
                </c:pt>
                <c:pt idx="33">
                  <c:v>1.1548630000000006</c:v>
                </c:pt>
                <c:pt idx="34">
                  <c:v>1.0426729999999989</c:v>
                </c:pt>
                <c:pt idx="35">
                  <c:v>1.0055949999999996</c:v>
                </c:pt>
                <c:pt idx="36">
                  <c:v>0.91160700000000006</c:v>
                </c:pt>
                <c:pt idx="37">
                  <c:v>0.88424499999999995</c:v>
                </c:pt>
                <c:pt idx="38">
                  <c:v>1.0324489999999997</c:v>
                </c:pt>
                <c:pt idx="39">
                  <c:v>1.4541230000000009</c:v>
                </c:pt>
                <c:pt idx="40">
                  <c:v>1.9619009999999992</c:v>
                </c:pt>
                <c:pt idx="41">
                  <c:v>2.5168919999999986</c:v>
                </c:pt>
                <c:pt idx="42">
                  <c:v>3.3197579999999993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8704"/>
        <c:axId val="-1079066320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strRef>
              <c:f>CHARTS!$B$196:$B$255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CHARTS!$C$196:$C$255</c:f>
              <c:numCache>
                <c:formatCode>#,##0.00</c:formatCode>
                <c:ptCount val="60"/>
                <c:pt idx="0">
                  <c:v>99.782471000000001</c:v>
                </c:pt>
                <c:pt idx="1">
                  <c:v>99.345276999999996</c:v>
                </c:pt>
                <c:pt idx="2">
                  <c:v>98.399039999999999</c:v>
                </c:pt>
                <c:pt idx="3">
                  <c:v>97.358624000000006</c:v>
                </c:pt>
                <c:pt idx="4">
                  <c:v>85.323222999999999</c:v>
                </c:pt>
                <c:pt idx="5">
                  <c:v>77.176490999999999</c:v>
                </c:pt>
                <c:pt idx="6">
                  <c:v>70.490620000000007</c:v>
                </c:pt>
                <c:pt idx="7">
                  <c:v>64.079515000000001</c:v>
                </c:pt>
                <c:pt idx="8">
                  <c:v>57.751609999999999</c:v>
                </c:pt>
                <c:pt idx="9">
                  <c:v>52.487029</c:v>
                </c:pt>
                <c:pt idx="10">
                  <c:v>47.660854999999998</c:v>
                </c:pt>
                <c:pt idx="11">
                  <c:v>42.986913999999999</c:v>
                </c:pt>
                <c:pt idx="12">
                  <c:v>38.502948000000004</c:v>
                </c:pt>
                <c:pt idx="13">
                  <c:v>34.601546999999997</c:v>
                </c:pt>
                <c:pt idx="14">
                  <c:v>31.320793999999999</c:v>
                </c:pt>
                <c:pt idx="15">
                  <c:v>28.202321000000001</c:v>
                </c:pt>
                <c:pt idx="16">
                  <c:v>25.281500000000001</c:v>
                </c:pt>
                <c:pt idx="17">
                  <c:v>22.314176</c:v>
                </c:pt>
                <c:pt idx="18">
                  <c:v>19.954466</c:v>
                </c:pt>
                <c:pt idx="19">
                  <c:v>18.266514000000001</c:v>
                </c:pt>
                <c:pt idx="20">
                  <c:v>17.167676</c:v>
                </c:pt>
                <c:pt idx="21">
                  <c:v>16.474920999999998</c:v>
                </c:pt>
                <c:pt idx="22">
                  <c:v>16.062777000000001</c:v>
                </c:pt>
                <c:pt idx="23">
                  <c:v>15.850058000000001</c:v>
                </c:pt>
                <c:pt idx="24">
                  <c:v>15.672345</c:v>
                </c:pt>
                <c:pt idx="25">
                  <c:v>15.617119000000001</c:v>
                </c:pt>
                <c:pt idx="26">
                  <c:v>15.580064999999999</c:v>
                </c:pt>
                <c:pt idx="27">
                  <c:v>15.487984000000001</c:v>
                </c:pt>
                <c:pt idx="28">
                  <c:v>15.295351</c:v>
                </c:pt>
                <c:pt idx="29">
                  <c:v>14.973530999999999</c:v>
                </c:pt>
                <c:pt idx="30">
                  <c:v>14.600787</c:v>
                </c:pt>
                <c:pt idx="31">
                  <c:v>14.116294</c:v>
                </c:pt>
                <c:pt idx="32">
                  <c:v>13.602648</c:v>
                </c:pt>
                <c:pt idx="33">
                  <c:v>13.172568999999999</c:v>
                </c:pt>
                <c:pt idx="34">
                  <c:v>12.800281999999999</c:v>
                </c:pt>
                <c:pt idx="35">
                  <c:v>12.351913</c:v>
                </c:pt>
                <c:pt idx="36">
                  <c:v>11.908333000000001</c:v>
                </c:pt>
                <c:pt idx="37">
                  <c:v>11.449232</c:v>
                </c:pt>
                <c:pt idx="38">
                  <c:v>10.909518</c:v>
                </c:pt>
                <c:pt idx="39">
                  <c:v>10.292733999999999</c:v>
                </c:pt>
                <c:pt idx="40">
                  <c:v>9.8753580000000003</c:v>
                </c:pt>
                <c:pt idx="41">
                  <c:v>9.3343600000000002</c:v>
                </c:pt>
                <c:pt idx="42">
                  <c:v>8.1838149999999992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A2-4D7A-926D-44A239A5A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8704"/>
        <c:axId val="-1079066320"/>
      </c:lineChart>
      <c:catAx>
        <c:axId val="-1079058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6320"/>
        <c:crosses val="autoZero"/>
        <c:auto val="1"/>
        <c:lblAlgn val="ctr"/>
        <c:lblOffset val="100"/>
        <c:noMultiLvlLbl val="0"/>
      </c:catAx>
      <c:valAx>
        <c:axId val="-10790663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2.6174722222222238E-2"/>
          <c:w val="0.12372819444444444"/>
          <c:h val="0.100983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strRef>
              <c:f>CHARTS!$B$4:$B$63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CHARTS!$D$4:$D$41</c:f>
              <c:numCache>
                <c:formatCode>#,##0.00</c:formatCode>
                <c:ptCount val="38"/>
                <c:pt idx="0">
                  <c:v>229.54351</c:v>
                </c:pt>
                <c:pt idx="1">
                  <c:v>622.34981500000004</c:v>
                </c:pt>
                <c:pt idx="2">
                  <c:v>922.71254099999999</c:v>
                </c:pt>
                <c:pt idx="3">
                  <c:v>1139.934937</c:v>
                </c:pt>
                <c:pt idx="4">
                  <c:v>1282.379897</c:v>
                </c:pt>
                <c:pt idx="5">
                  <c:v>1362.171746</c:v>
                </c:pt>
                <c:pt idx="6">
                  <c:v>1380.938866</c:v>
                </c:pt>
                <c:pt idx="7">
                  <c:v>1354.8820909999999</c:v>
                </c:pt>
                <c:pt idx="8">
                  <c:v>1293.341572</c:v>
                </c:pt>
                <c:pt idx="9">
                  <c:v>1206.111733</c:v>
                </c:pt>
                <c:pt idx="10">
                  <c:v>1097.766928</c:v>
                </c:pt>
                <c:pt idx="11">
                  <c:v>973.58427400000005</c:v>
                </c:pt>
                <c:pt idx="12">
                  <c:v>852.20633499999997</c:v>
                </c:pt>
                <c:pt idx="13">
                  <c:v>740.84016699999995</c:v>
                </c:pt>
                <c:pt idx="14">
                  <c:v>652.05172400000004</c:v>
                </c:pt>
                <c:pt idx="15">
                  <c:v>592.15601400000003</c:v>
                </c:pt>
                <c:pt idx="16">
                  <c:v>559.61727900000005</c:v>
                </c:pt>
                <c:pt idx="17">
                  <c:v>551.15740100000005</c:v>
                </c:pt>
                <c:pt idx="18">
                  <c:v>563.49133400000005</c:v>
                </c:pt>
                <c:pt idx="19">
                  <c:v>589.89194499999996</c:v>
                </c:pt>
                <c:pt idx="20">
                  <c:v>628.95512699999995</c:v>
                </c:pt>
                <c:pt idx="21">
                  <c:v>675.269858</c:v>
                </c:pt>
                <c:pt idx="22">
                  <c:v>728.88059999999996</c:v>
                </c:pt>
                <c:pt idx="23">
                  <c:v>784.91349200000002</c:v>
                </c:pt>
                <c:pt idx="24">
                  <c:v>842.32302300000003</c:v>
                </c:pt>
                <c:pt idx="25">
                  <c:v>898.89379899999994</c:v>
                </c:pt>
                <c:pt idx="26">
                  <c:v>951.63421700000004</c:v>
                </c:pt>
                <c:pt idx="27">
                  <c:v>997.70042899999999</c:v>
                </c:pt>
                <c:pt idx="28">
                  <c:v>1034.250196</c:v>
                </c:pt>
                <c:pt idx="29">
                  <c:v>1058.8447349999999</c:v>
                </c:pt>
                <c:pt idx="30">
                  <c:v>1067.5908139999999</c:v>
                </c:pt>
                <c:pt idx="31">
                  <c:v>1062.714056</c:v>
                </c:pt>
                <c:pt idx="32">
                  <c:v>1045.9444840000001</c:v>
                </c:pt>
                <c:pt idx="33">
                  <c:v>1015.3387289999999</c:v>
                </c:pt>
                <c:pt idx="34">
                  <c:v>971.79328999999996</c:v>
                </c:pt>
                <c:pt idx="35">
                  <c:v>912.12464199999999</c:v>
                </c:pt>
                <c:pt idx="36">
                  <c:v>835.31772799999999</c:v>
                </c:pt>
                <c:pt idx="37">
                  <c:v>744.00558899999999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7-4F86-8ED0-9B4ABAB8ADEE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strRef>
              <c:f>CHARTS!$B$4:$B$63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CHARTS!$F$4:$F$63</c:f>
              <c:numCache>
                <c:formatCode>#,##0.00</c:formatCode>
                <c:ptCount val="60"/>
                <c:pt idx="0">
                  <c:v>12.626474999999999</c:v>
                </c:pt>
                <c:pt idx="1">
                  <c:v>32.600966999999969</c:v>
                </c:pt>
                <c:pt idx="2">
                  <c:v>45.791017000000011</c:v>
                </c:pt>
                <c:pt idx="3">
                  <c:v>54.737679999999955</c:v>
                </c:pt>
                <c:pt idx="4">
                  <c:v>60.320799999999963</c:v>
                </c:pt>
                <c:pt idx="5">
                  <c:v>59.108234000000039</c:v>
                </c:pt>
                <c:pt idx="6">
                  <c:v>54.615187999999989</c:v>
                </c:pt>
                <c:pt idx="7">
                  <c:v>52.126766000000089</c:v>
                </c:pt>
                <c:pt idx="8">
                  <c:v>49.098403999999846</c:v>
                </c:pt>
                <c:pt idx="9">
                  <c:v>44.592302000000018</c:v>
                </c:pt>
                <c:pt idx="10">
                  <c:v>45.566958999999997</c:v>
                </c:pt>
                <c:pt idx="11">
                  <c:v>53.939740000000029</c:v>
                </c:pt>
                <c:pt idx="12">
                  <c:v>59.614889000000062</c:v>
                </c:pt>
                <c:pt idx="13">
                  <c:v>65.2226280000001</c:v>
                </c:pt>
                <c:pt idx="14">
                  <c:v>70.011095999999952</c:v>
                </c:pt>
                <c:pt idx="15">
                  <c:v>73.223745000000008</c:v>
                </c:pt>
                <c:pt idx="16">
                  <c:v>72.727777999999944</c:v>
                </c:pt>
                <c:pt idx="17">
                  <c:v>69.016618999999992</c:v>
                </c:pt>
                <c:pt idx="18">
                  <c:v>61.010916999999949</c:v>
                </c:pt>
                <c:pt idx="19">
                  <c:v>53.275535999999988</c:v>
                </c:pt>
                <c:pt idx="20">
                  <c:v>47.701317000000017</c:v>
                </c:pt>
                <c:pt idx="21">
                  <c:v>45.620186999999987</c:v>
                </c:pt>
                <c:pt idx="22">
                  <c:v>44.795752999999991</c:v>
                </c:pt>
                <c:pt idx="23">
                  <c:v>47.269494000000009</c:v>
                </c:pt>
                <c:pt idx="24">
                  <c:v>49.90034199999991</c:v>
                </c:pt>
                <c:pt idx="25">
                  <c:v>53.774798000000033</c:v>
                </c:pt>
                <c:pt idx="26">
                  <c:v>56.534550999999965</c:v>
                </c:pt>
                <c:pt idx="27">
                  <c:v>57.798277999999982</c:v>
                </c:pt>
                <c:pt idx="28">
                  <c:v>57.343747000000121</c:v>
                </c:pt>
                <c:pt idx="29">
                  <c:v>54.975291000000198</c:v>
                </c:pt>
                <c:pt idx="30">
                  <c:v>53.889366000000109</c:v>
                </c:pt>
                <c:pt idx="31">
                  <c:v>52.097287999999935</c:v>
                </c:pt>
                <c:pt idx="32">
                  <c:v>48.133383999999978</c:v>
                </c:pt>
                <c:pt idx="33">
                  <c:v>51.380907999999977</c:v>
                </c:pt>
                <c:pt idx="34">
                  <c:v>47.410347999999999</c:v>
                </c:pt>
                <c:pt idx="35">
                  <c:v>57.981831000000057</c:v>
                </c:pt>
                <c:pt idx="36">
                  <c:v>81.537046000000032</c:v>
                </c:pt>
                <c:pt idx="37">
                  <c:v>106.69463099999996</c:v>
                </c:pt>
                <c:pt idx="38">
                  <c:v>135.96317599999998</c:v>
                </c:pt>
                <c:pt idx="39">
                  <c:v>167.65991399999996</c:v>
                </c:pt>
                <c:pt idx="40">
                  <c:v>199.25560799999994</c:v>
                </c:pt>
                <c:pt idx="41">
                  <c:v>233.509165</c:v>
                </c:pt>
                <c:pt idx="42">
                  <c:v>271.81179199999997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62512"/>
        <c:axId val="-107905707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strRef>
              <c:f>CHARTS!$B$4:$B$63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CHARTS!$C$4:$C$63</c:f>
              <c:numCache>
                <c:formatCode>#,##0.00</c:formatCode>
                <c:ptCount val="60"/>
                <c:pt idx="0">
                  <c:v>235.53480500000001</c:v>
                </c:pt>
                <c:pt idx="1">
                  <c:v>638.00374799999997</c:v>
                </c:pt>
                <c:pt idx="2">
                  <c:v>944.83151699999996</c:v>
                </c:pt>
                <c:pt idx="3">
                  <c:v>1165.697807</c:v>
                </c:pt>
                <c:pt idx="4">
                  <c:v>1310.282312</c:v>
                </c:pt>
                <c:pt idx="5">
                  <c:v>1388.2647260000001</c:v>
                </c:pt>
                <c:pt idx="6">
                  <c:v>1409.3247449999999</c:v>
                </c:pt>
                <c:pt idx="7">
                  <c:v>1383.142063</c:v>
                </c:pt>
                <c:pt idx="8">
                  <c:v>1319.396375</c:v>
                </c:pt>
                <c:pt idx="9">
                  <c:v>1227.7673749999999</c:v>
                </c:pt>
                <c:pt idx="10">
                  <c:v>1117.9347580000001</c:v>
                </c:pt>
                <c:pt idx="11">
                  <c:v>999.57821799999999</c:v>
                </c:pt>
                <c:pt idx="12">
                  <c:v>882.37745099999995</c:v>
                </c:pt>
                <c:pt idx="13">
                  <c:v>776.01215100000002</c:v>
                </c:pt>
                <c:pt idx="14">
                  <c:v>690.05792699999995</c:v>
                </c:pt>
                <c:pt idx="15">
                  <c:v>630.54480899999999</c:v>
                </c:pt>
                <c:pt idx="16">
                  <c:v>596.14499899999998</c:v>
                </c:pt>
                <c:pt idx="17">
                  <c:v>583.89776800000004</c:v>
                </c:pt>
                <c:pt idx="18">
                  <c:v>590.83588999999995</c:v>
                </c:pt>
                <c:pt idx="19">
                  <c:v>613.99213499999996</c:v>
                </c:pt>
                <c:pt idx="20">
                  <c:v>650.39927699999998</c:v>
                </c:pt>
                <c:pt idx="21">
                  <c:v>697.09008700000004</c:v>
                </c:pt>
                <c:pt idx="22">
                  <c:v>751.09733800000004</c:v>
                </c:pt>
                <c:pt idx="23">
                  <c:v>809.453801</c:v>
                </c:pt>
                <c:pt idx="24">
                  <c:v>869.19224999999994</c:v>
                </c:pt>
                <c:pt idx="25">
                  <c:v>927.34545400000002</c:v>
                </c:pt>
                <c:pt idx="26">
                  <c:v>980.94618800000001</c:v>
                </c:pt>
                <c:pt idx="27">
                  <c:v>1027.027223</c:v>
                </c:pt>
                <c:pt idx="28">
                  <c:v>1062.6229949999999</c:v>
                </c:pt>
                <c:pt idx="29">
                  <c:v>1085.18524</c:v>
                </c:pt>
                <c:pt idx="30">
                  <c:v>1094.046067</c:v>
                </c:pt>
                <c:pt idx="31">
                  <c:v>1089.4436820000001</c:v>
                </c:pt>
                <c:pt idx="32">
                  <c:v>1071.642893</c:v>
                </c:pt>
                <c:pt idx="33">
                  <c:v>1040.908508</c:v>
                </c:pt>
                <c:pt idx="34">
                  <c:v>997.50533299999995</c:v>
                </c:pt>
                <c:pt idx="35">
                  <c:v>941.69817799999998</c:v>
                </c:pt>
                <c:pt idx="36">
                  <c:v>873.751848</c:v>
                </c:pt>
                <c:pt idx="37">
                  <c:v>793.93115299999999</c:v>
                </c:pt>
                <c:pt idx="38">
                  <c:v>702.5009</c:v>
                </c:pt>
                <c:pt idx="39">
                  <c:v>599.72589500000004</c:v>
                </c:pt>
                <c:pt idx="40">
                  <c:v>485.870949</c:v>
                </c:pt>
                <c:pt idx="41">
                  <c:v>361.20086600000002</c:v>
                </c:pt>
                <c:pt idx="42">
                  <c:v>225.980457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E7-4F86-8ED0-9B4ABAB8A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62512"/>
        <c:axId val="-1079057072"/>
      </c:lineChart>
      <c:catAx>
        <c:axId val="-107906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7072"/>
        <c:crosses val="autoZero"/>
        <c:auto val="1"/>
        <c:lblAlgn val="ctr"/>
        <c:lblOffset val="100"/>
        <c:noMultiLvlLbl val="0"/>
      </c:catAx>
      <c:valAx>
        <c:axId val="-10790570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62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4.7341388888888905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416307961504806E-2"/>
          <c:y val="5.4034166666666661E-2"/>
          <c:w val="0.78129361111111106"/>
          <c:h val="0.79258666666666666"/>
        </c:manualLayout>
      </c:layout>
      <c:areaChart>
        <c:grouping val="stacked"/>
        <c:varyColors val="0"/>
        <c:ser>
          <c:idx val="2"/>
          <c:order val="1"/>
          <c:tx>
            <c:v>Min</c:v>
          </c:tx>
          <c:spPr>
            <a:noFill/>
            <a:ln>
              <a:noFill/>
            </a:ln>
            <a:effectLst/>
          </c:spPr>
          <c:cat>
            <c:strRef>
              <c:f>CHARTS!$B$68:$B$127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CHARTS!$D$68:$D$127</c:f>
              <c:numCache>
                <c:formatCode>#,##0.00</c:formatCode>
                <c:ptCount val="60"/>
                <c:pt idx="0">
                  <c:v>11.567121999999999</c:v>
                </c:pt>
                <c:pt idx="1">
                  <c:v>11.567121999999999</c:v>
                </c:pt>
                <c:pt idx="2">
                  <c:v>11.567121999999999</c:v>
                </c:pt>
                <c:pt idx="3">
                  <c:v>11.567121999999999</c:v>
                </c:pt>
                <c:pt idx="4">
                  <c:v>5.0026640000000002</c:v>
                </c:pt>
                <c:pt idx="5">
                  <c:v>4.6781350000000002</c:v>
                </c:pt>
                <c:pt idx="6">
                  <c:v>4.4305669999999999</c:v>
                </c:pt>
                <c:pt idx="7">
                  <c:v>4.1791869999999998</c:v>
                </c:pt>
                <c:pt idx="8">
                  <c:v>3.9285619999999999</c:v>
                </c:pt>
                <c:pt idx="9">
                  <c:v>3.6779410000000001</c:v>
                </c:pt>
                <c:pt idx="10">
                  <c:v>3.4875419999999999</c:v>
                </c:pt>
                <c:pt idx="11">
                  <c:v>3.307779</c:v>
                </c:pt>
                <c:pt idx="12">
                  <c:v>3.1478570000000001</c:v>
                </c:pt>
                <c:pt idx="13">
                  <c:v>3.0049090000000001</c:v>
                </c:pt>
                <c:pt idx="14">
                  <c:v>2.9876960000000001</c:v>
                </c:pt>
                <c:pt idx="15">
                  <c:v>2.9166439999999998</c:v>
                </c:pt>
                <c:pt idx="16">
                  <c:v>2.859683</c:v>
                </c:pt>
                <c:pt idx="17">
                  <c:v>2.8137150000000002</c:v>
                </c:pt>
                <c:pt idx="18">
                  <c:v>2.7415780000000001</c:v>
                </c:pt>
                <c:pt idx="19">
                  <c:v>2.6775720000000001</c:v>
                </c:pt>
                <c:pt idx="20">
                  <c:v>2.6206459999999998</c:v>
                </c:pt>
                <c:pt idx="21">
                  <c:v>2.559768</c:v>
                </c:pt>
                <c:pt idx="22">
                  <c:v>2.4981819999999999</c:v>
                </c:pt>
                <c:pt idx="23">
                  <c:v>2.486748</c:v>
                </c:pt>
                <c:pt idx="24">
                  <c:v>2.4848849999999998</c:v>
                </c:pt>
                <c:pt idx="25">
                  <c:v>2.4875919999999998</c:v>
                </c:pt>
                <c:pt idx="26">
                  <c:v>2.4875099999999999</c:v>
                </c:pt>
                <c:pt idx="27">
                  <c:v>2.4930110000000001</c:v>
                </c:pt>
                <c:pt idx="28">
                  <c:v>2.4982380000000002</c:v>
                </c:pt>
                <c:pt idx="29">
                  <c:v>2.5071189999999999</c:v>
                </c:pt>
                <c:pt idx="30">
                  <c:v>2.5053190000000001</c:v>
                </c:pt>
                <c:pt idx="31">
                  <c:v>2.5016539999999998</c:v>
                </c:pt>
                <c:pt idx="32">
                  <c:v>2.5048270000000001</c:v>
                </c:pt>
                <c:pt idx="33">
                  <c:v>2.6203509999999999</c:v>
                </c:pt>
                <c:pt idx="34">
                  <c:v>2.7474249999999998</c:v>
                </c:pt>
                <c:pt idx="35">
                  <c:v>2.8690739999999999</c:v>
                </c:pt>
                <c:pt idx="36">
                  <c:v>3.0065529999999998</c:v>
                </c:pt>
                <c:pt idx="37">
                  <c:v>3.1492059999999999</c:v>
                </c:pt>
                <c:pt idx="38">
                  <c:v>3.3082660000000002</c:v>
                </c:pt>
                <c:pt idx="39">
                  <c:v>3.4704649999999999</c:v>
                </c:pt>
                <c:pt idx="40">
                  <c:v>3.6344530000000002</c:v>
                </c:pt>
                <c:pt idx="41">
                  <c:v>4.6243350000000003</c:v>
                </c:pt>
                <c:pt idx="42">
                  <c:v>4.2762510000000002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13-4068-8C98-82E51A8E7063}"/>
            </c:ext>
          </c:extLst>
        </c:ser>
        <c:ser>
          <c:idx val="4"/>
          <c:order val="2"/>
          <c:tx>
            <c:v>Min-max</c:v>
          </c:tx>
          <c:spPr>
            <a:solidFill>
              <a:schemeClr val="bg1">
                <a:lumMod val="50000"/>
                <a:alpha val="20000"/>
              </a:schemeClr>
            </a:solidFill>
            <a:ln>
              <a:noFill/>
            </a:ln>
            <a:effectLst/>
          </c:spPr>
          <c:cat>
            <c:strRef>
              <c:f>CHARTS!$B$68:$B$127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CHARTS!$F$68:$F$127</c:f>
              <c:numCache>
                <c:formatCode>#,##0.00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0.86929500000000015</c:v>
                </c:pt>
                <c:pt idx="5">
                  <c:v>0.69380500000000023</c:v>
                </c:pt>
                <c:pt idx="6">
                  <c:v>0.5485439999999997</c:v>
                </c:pt>
                <c:pt idx="7">
                  <c:v>0.43542300000000012</c:v>
                </c:pt>
                <c:pt idx="8">
                  <c:v>0.37281300000000028</c:v>
                </c:pt>
                <c:pt idx="9">
                  <c:v>0.41240199999999971</c:v>
                </c:pt>
                <c:pt idx="10">
                  <c:v>0.40433699999999995</c:v>
                </c:pt>
                <c:pt idx="11">
                  <c:v>0.39647699999999997</c:v>
                </c:pt>
                <c:pt idx="12">
                  <c:v>0.40995599999999977</c:v>
                </c:pt>
                <c:pt idx="13">
                  <c:v>0.41964800000000002</c:v>
                </c:pt>
                <c:pt idx="14">
                  <c:v>0.3065089999999997</c:v>
                </c:pt>
                <c:pt idx="15">
                  <c:v>0.27986400000000033</c:v>
                </c:pt>
                <c:pt idx="16">
                  <c:v>0.25237199999999982</c:v>
                </c:pt>
                <c:pt idx="17">
                  <c:v>0.23988100000000001</c:v>
                </c:pt>
                <c:pt idx="18">
                  <c:v>0.25471200000000005</c:v>
                </c:pt>
                <c:pt idx="19">
                  <c:v>0.27642299999999986</c:v>
                </c:pt>
                <c:pt idx="20">
                  <c:v>0.29430600000000018</c:v>
                </c:pt>
                <c:pt idx="21">
                  <c:v>0.33185500000000001</c:v>
                </c:pt>
                <c:pt idx="22">
                  <c:v>0.36192100000000016</c:v>
                </c:pt>
                <c:pt idx="23">
                  <c:v>0.33926899999999982</c:v>
                </c:pt>
                <c:pt idx="24">
                  <c:v>0.31208100000000005</c:v>
                </c:pt>
                <c:pt idx="25">
                  <c:v>0.28276400000000024</c:v>
                </c:pt>
                <c:pt idx="26">
                  <c:v>0.2541260000000003</c:v>
                </c:pt>
                <c:pt idx="27">
                  <c:v>0.22337399999999974</c:v>
                </c:pt>
                <c:pt idx="28">
                  <c:v>0.20116500000000004</c:v>
                </c:pt>
                <c:pt idx="29">
                  <c:v>0.1964760000000001</c:v>
                </c:pt>
                <c:pt idx="30">
                  <c:v>0.19891499999999995</c:v>
                </c:pt>
                <c:pt idx="31">
                  <c:v>0.22396800000000017</c:v>
                </c:pt>
                <c:pt idx="32">
                  <c:v>0.24567300000000003</c:v>
                </c:pt>
                <c:pt idx="33">
                  <c:v>0.22067000000000014</c:v>
                </c:pt>
                <c:pt idx="34">
                  <c:v>0.21513500000000008</c:v>
                </c:pt>
                <c:pt idx="35">
                  <c:v>0.20893600000000001</c:v>
                </c:pt>
                <c:pt idx="36">
                  <c:v>0.20870600000000028</c:v>
                </c:pt>
                <c:pt idx="37">
                  <c:v>0.25258700000000012</c:v>
                </c:pt>
                <c:pt idx="38">
                  <c:v>0.31294599999999972</c:v>
                </c:pt>
                <c:pt idx="39">
                  <c:v>0.40229099999999995</c:v>
                </c:pt>
                <c:pt idx="40">
                  <c:v>0.5515399999999997</c:v>
                </c:pt>
                <c:pt idx="41">
                  <c:v>1.060886</c:v>
                </c:pt>
                <c:pt idx="42">
                  <c:v>0.82534099999999988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79054896"/>
        <c:axId val="-1079054352"/>
      </c:areaChart>
      <c:lineChart>
        <c:grouping val="standard"/>
        <c:varyColors val="0"/>
        <c:ser>
          <c:idx val="0"/>
          <c:order val="0"/>
          <c:tx>
            <c:v>Mean</c:v>
          </c:tx>
          <c:spPr>
            <a:ln w="22225" cap="rnd">
              <a:solidFill>
                <a:srgbClr val="69B023"/>
              </a:solidFill>
              <a:round/>
            </a:ln>
            <a:effectLst/>
          </c:spPr>
          <c:marker>
            <c:symbol val="none"/>
          </c:marker>
          <c:cat>
            <c:strRef>
              <c:f>CHARTS!$B$68:$B$127</c:f>
              <c:strCache>
                <c:ptCount val="43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  <c:pt idx="39">
                  <c:v>2019</c:v>
                </c:pt>
                <c:pt idx="40">
                  <c:v>2020</c:v>
                </c:pt>
                <c:pt idx="41">
                  <c:v>2021</c:v>
                </c:pt>
                <c:pt idx="42">
                  <c:v>2022</c:v>
                </c:pt>
              </c:strCache>
            </c:strRef>
          </c:cat>
          <c:val>
            <c:numRef>
              <c:f>CHARTS!$C$68:$C$127</c:f>
              <c:numCache>
                <c:formatCode>#,##0.00</c:formatCode>
                <c:ptCount val="60"/>
                <c:pt idx="0">
                  <c:v>11.567121999999999</c:v>
                </c:pt>
                <c:pt idx="1">
                  <c:v>11.567121999999999</c:v>
                </c:pt>
                <c:pt idx="2">
                  <c:v>11.567121999999999</c:v>
                </c:pt>
                <c:pt idx="3">
                  <c:v>11.567121999999999</c:v>
                </c:pt>
                <c:pt idx="4">
                  <c:v>5.3270239999999998</c:v>
                </c:pt>
                <c:pt idx="5">
                  <c:v>4.9497580000000001</c:v>
                </c:pt>
                <c:pt idx="6">
                  <c:v>4.6240519999999998</c:v>
                </c:pt>
                <c:pt idx="7">
                  <c:v>4.3405279999999999</c:v>
                </c:pt>
                <c:pt idx="8">
                  <c:v>4.0919299999999996</c:v>
                </c:pt>
                <c:pt idx="9">
                  <c:v>3.8725689999999999</c:v>
                </c:pt>
                <c:pt idx="10">
                  <c:v>3.6779350000000002</c:v>
                </c:pt>
                <c:pt idx="11">
                  <c:v>3.5044110000000002</c:v>
                </c:pt>
                <c:pt idx="12">
                  <c:v>3.3490760000000002</c:v>
                </c:pt>
                <c:pt idx="13">
                  <c:v>3.2095509999999998</c:v>
                </c:pt>
                <c:pt idx="14">
                  <c:v>3.1362619999999999</c:v>
                </c:pt>
                <c:pt idx="15">
                  <c:v>3.067348</c:v>
                </c:pt>
                <c:pt idx="16">
                  <c:v>3.0024510000000002</c:v>
                </c:pt>
                <c:pt idx="17">
                  <c:v>2.941255</c:v>
                </c:pt>
                <c:pt idx="18">
                  <c:v>2.88348</c:v>
                </c:pt>
                <c:pt idx="19">
                  <c:v>2.8288760000000002</c:v>
                </c:pt>
                <c:pt idx="20">
                  <c:v>2.7772199999999998</c:v>
                </c:pt>
                <c:pt idx="21">
                  <c:v>2.7283119999999998</c:v>
                </c:pt>
                <c:pt idx="22">
                  <c:v>2.681975</c:v>
                </c:pt>
                <c:pt idx="23">
                  <c:v>2.6578520000000001</c:v>
                </c:pt>
                <c:pt idx="24">
                  <c:v>2.6384500000000002</c:v>
                </c:pt>
                <c:pt idx="25">
                  <c:v>2.623348</c:v>
                </c:pt>
                <c:pt idx="26">
                  <c:v>2.6122100000000001</c:v>
                </c:pt>
                <c:pt idx="27">
                  <c:v>2.604768</c:v>
                </c:pt>
                <c:pt idx="28">
                  <c:v>2.6008110000000002</c:v>
                </c:pt>
                <c:pt idx="29">
                  <c:v>2.6001750000000001</c:v>
                </c:pt>
                <c:pt idx="30">
                  <c:v>2.6027390000000001</c:v>
                </c:pt>
                <c:pt idx="31">
                  <c:v>2.608419</c:v>
                </c:pt>
                <c:pt idx="32">
                  <c:v>2.617165</c:v>
                </c:pt>
                <c:pt idx="33">
                  <c:v>2.7198389999999999</c:v>
                </c:pt>
                <c:pt idx="34">
                  <c:v>2.8349500000000001</c:v>
                </c:pt>
                <c:pt idx="35">
                  <c:v>2.9639489999999999</c:v>
                </c:pt>
                <c:pt idx="36">
                  <c:v>3.1087259999999999</c:v>
                </c:pt>
                <c:pt idx="37">
                  <c:v>3.2716919999999998</c:v>
                </c:pt>
                <c:pt idx="38">
                  <c:v>3.455905</c:v>
                </c:pt>
                <c:pt idx="39">
                  <c:v>3.6652490000000002</c:v>
                </c:pt>
                <c:pt idx="40">
                  <c:v>3.9046970000000001</c:v>
                </c:pt>
                <c:pt idx="41">
                  <c:v>5.1328399999999998</c:v>
                </c:pt>
                <c:pt idx="42">
                  <c:v>4.6870859999999999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13-4068-8C98-82E51A8E7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9054896"/>
        <c:axId val="-1079054352"/>
      </c:lineChart>
      <c:catAx>
        <c:axId val="-1079054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352"/>
        <c:crosses val="autoZero"/>
        <c:auto val="1"/>
        <c:lblAlgn val="ctr"/>
        <c:lblOffset val="100"/>
        <c:noMultiLvlLbl val="0"/>
      </c:catAx>
      <c:valAx>
        <c:axId val="-1079054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7905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7627180555555551"/>
          <c:y val="6.498027777777779E-2"/>
          <c:w val="0.12372819444444444"/>
          <c:h val="0.12215055555555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19</xdr:col>
      <xdr:colOff>494400</xdr:colOff>
      <xdr:row>31</xdr:row>
      <xdr:rowOff>37650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71</xdr:row>
      <xdr:rowOff>0</xdr:rowOff>
    </xdr:from>
    <xdr:to>
      <xdr:col>19</xdr:col>
      <xdr:colOff>494400</xdr:colOff>
      <xdr:row>96</xdr:row>
      <xdr:rowOff>37650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134</xdr:row>
      <xdr:rowOff>0</xdr:rowOff>
    </xdr:from>
    <xdr:to>
      <xdr:col>19</xdr:col>
      <xdr:colOff>494400</xdr:colOff>
      <xdr:row>159</xdr:row>
      <xdr:rowOff>37650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198</xdr:row>
      <xdr:rowOff>0</xdr:rowOff>
    </xdr:from>
    <xdr:to>
      <xdr:col>19</xdr:col>
      <xdr:colOff>494400</xdr:colOff>
      <xdr:row>223</xdr:row>
      <xdr:rowOff>37650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262</xdr:row>
      <xdr:rowOff>0</xdr:rowOff>
    </xdr:from>
    <xdr:to>
      <xdr:col>19</xdr:col>
      <xdr:colOff>494400</xdr:colOff>
      <xdr:row>287</xdr:row>
      <xdr:rowOff>37650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326</xdr:row>
      <xdr:rowOff>0</xdr:rowOff>
    </xdr:from>
    <xdr:to>
      <xdr:col>19</xdr:col>
      <xdr:colOff>494400</xdr:colOff>
      <xdr:row>351</xdr:row>
      <xdr:rowOff>37650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390</xdr:row>
      <xdr:rowOff>0</xdr:rowOff>
    </xdr:from>
    <xdr:to>
      <xdr:col>19</xdr:col>
      <xdr:colOff>494400</xdr:colOff>
      <xdr:row>415</xdr:row>
      <xdr:rowOff>37650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1095375</xdr:colOff>
          <xdr:row>0</xdr:row>
          <xdr:rowOff>38100</xdr:rowOff>
        </xdr:from>
        <xdr:to>
          <xdr:col>4</xdr:col>
          <xdr:colOff>1162050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all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131</xdr:row>
      <xdr:rowOff>0</xdr:rowOff>
    </xdr:from>
    <xdr:to>
      <xdr:col>26</xdr:col>
      <xdr:colOff>151500</xdr:colOff>
      <xdr:row>156</xdr:row>
      <xdr:rowOff>28125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314325</xdr:colOff>
      <xdr:row>195</xdr:row>
      <xdr:rowOff>19050</xdr:rowOff>
    </xdr:from>
    <xdr:to>
      <xdr:col>12</xdr:col>
      <xdr:colOff>542025</xdr:colOff>
      <xdr:row>220</xdr:row>
      <xdr:rowOff>47175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333375</xdr:colOff>
      <xdr:row>3</xdr:row>
      <xdr:rowOff>9525</xdr:rowOff>
    </xdr:from>
    <xdr:to>
      <xdr:col>12</xdr:col>
      <xdr:colOff>561075</xdr:colOff>
      <xdr:row>28</xdr:row>
      <xdr:rowOff>37650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352425</xdr:colOff>
      <xdr:row>67</xdr:row>
      <xdr:rowOff>9524</xdr:rowOff>
    </xdr:from>
    <xdr:to>
      <xdr:col>12</xdr:col>
      <xdr:colOff>580125</xdr:colOff>
      <xdr:row>92</xdr:row>
      <xdr:rowOff>37649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HIVAIDSdiagnoses" displayName="tblHIVAIDSdiagnoses" ref="B326:G386" totalsRowShown="0">
  <autoFilter ref="B326:G386" xr:uid="{00000000-0009-0000-0100-000001000000}">
    <filterColumn colId="0">
      <customFilters>
        <customFilter operator="notEqual" val=" "/>
      </customFilters>
    </filterColumn>
  </autoFilter>
  <tableColumns count="6">
    <tableColumn id="1" xr3:uid="{00000000-0010-0000-0000-000001000000}" name="year"/>
    <tableColumn id="2" xr3:uid="{00000000-0010-0000-0000-000002000000}" name="N_HIVAIDS_D"/>
    <tableColumn id="3" xr3:uid="{00000000-0010-0000-0000-000003000000}" name="N_HIVAIDS_Obs_M"/>
    <tableColumn id="4" xr3:uid="{00000000-0010-0000-0000-000004000000}" name="N_HIVAIDS_Obs_M_LB"/>
    <tableColumn id="5" xr3:uid="{00000000-0010-0000-0000-000005000000}" name="N_HIVAIDS_Obs_M_UB"/>
    <tableColumn id="6" xr3:uid="{00000000-0010-0000-0000-000006000000}" name="Min-max"/>
  </tableColumns>
  <tableStyleInfo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HIVdiagnoses" displayName="tblHIVdiagnoses" ref="B6:G66" totalsRowShown="0">
  <autoFilter ref="B6:G66" xr:uid="{00000000-0009-0000-0100-000002000000}">
    <filterColumn colId="0">
      <customFilters>
        <customFilter operator="notEqual" val=" "/>
      </customFilters>
    </filterColumn>
  </autoFilter>
  <tableColumns count="6">
    <tableColumn id="1" xr3:uid="{00000000-0010-0000-0100-000001000000}" name="year"/>
    <tableColumn id="2" xr3:uid="{00000000-0010-0000-0100-000002000000}" name="N_HIV_D"/>
    <tableColumn id="3" xr3:uid="{00000000-0010-0000-0100-000003000000}" name="N_HIV_Obs_M"/>
    <tableColumn id="4" xr3:uid="{00000000-0010-0000-0100-000004000000}" name="N_HIV_Obs_M_LB"/>
    <tableColumn id="5" xr3:uid="{00000000-0010-0000-0100-000005000000}" name="N_HIV_Obs_M_UB"/>
    <tableColumn id="6" xr3:uid="{00000000-0010-0000-0100-000006000000}" name="Min-max"/>
  </tableColumns>
  <tableStyleInfo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CD4Count4" displayName="tblCD4Count4" ref="B262:G322" totalsRowShown="0">
  <autoFilter ref="B262:G322" xr:uid="{00000000-0009-0000-0100-000003000000}">
    <filterColumn colId="0">
      <customFilters>
        <customFilter operator="notEqual" val=" "/>
      </customFilters>
    </filterColumn>
  </autoFilter>
  <tableColumns count="6">
    <tableColumn id="1" xr3:uid="{00000000-0010-0000-0200-000001000000}" name="year"/>
    <tableColumn id="2" xr3:uid="{00000000-0010-0000-0200-000002000000}" name="N_CD4_4_D"/>
    <tableColumn id="3" xr3:uid="{00000000-0010-0000-0200-000003000000}" name="N_CD4_4_Obs_M"/>
    <tableColumn id="4" xr3:uid="{00000000-0010-0000-0200-000004000000}" name="N_CD4_4_Obs_M_LB"/>
    <tableColumn id="5" xr3:uid="{00000000-0010-0000-0200-000005000000}" name="N_CD4_4_Obs_M_UB"/>
    <tableColumn id="6" xr3:uid="{00000000-0010-0000-0200-000006000000}" name="Min-max"/>
  </tableColumns>
  <tableStyleInfo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D4Count3" displayName="tblCD4Count3" ref="B198:G258" totalsRowShown="0">
  <autoFilter ref="B198:G258" xr:uid="{00000000-0009-0000-0100-000004000000}">
    <filterColumn colId="0">
      <customFilters>
        <customFilter operator="notEqual" val=" "/>
      </customFilters>
    </filterColumn>
  </autoFilter>
  <tableColumns count="6">
    <tableColumn id="1" xr3:uid="{00000000-0010-0000-0300-000001000000}" name="year"/>
    <tableColumn id="2" xr3:uid="{00000000-0010-0000-0300-000002000000}" name="N_CD4_3_D"/>
    <tableColumn id="3" xr3:uid="{00000000-0010-0000-0300-000003000000}" name="N_CD4_3_Obs_M"/>
    <tableColumn id="4" xr3:uid="{00000000-0010-0000-0300-000004000000}" name="N_CD4_3_Obs_M_LB"/>
    <tableColumn id="5" xr3:uid="{00000000-0010-0000-0300-000005000000}" name="N_CD4_3_Obs_M_UB"/>
    <tableColumn id="6" xr3:uid="{00000000-0010-0000-0300-000006000000}" name="Min-max"/>
  </tableColumns>
  <tableStyleInfo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CD4Count2" displayName="tblCD4Count2" ref="B134:G194" totalsRowShown="0">
  <autoFilter ref="B134:G194" xr:uid="{00000000-0009-0000-0100-000005000000}">
    <filterColumn colId="0">
      <customFilters>
        <customFilter operator="notEqual" val=" "/>
      </customFilters>
    </filterColumn>
  </autoFilter>
  <tableColumns count="6">
    <tableColumn id="1" xr3:uid="{00000000-0010-0000-0400-000001000000}" name="year"/>
    <tableColumn id="2" xr3:uid="{00000000-0010-0000-0400-000002000000}" name="N_CD4_2_D"/>
    <tableColumn id="3" xr3:uid="{00000000-0010-0000-0400-000003000000}" name="N_CD4_2_Obs_M"/>
    <tableColumn id="4" xr3:uid="{00000000-0010-0000-0400-000004000000}" name="N_CD4_2_Obs_M_LB"/>
    <tableColumn id="5" xr3:uid="{00000000-0010-0000-0400-000005000000}" name="N_CD4_2_Obs_M_UB"/>
    <tableColumn id="6" xr3:uid="{00000000-0010-0000-0400-000006000000}" name="Min-max"/>
  </tableColumns>
  <tableStyleInfo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CD4Count1" displayName="tblCD4Count1" ref="B70:G130" totalsRowShown="0">
  <autoFilter ref="B70:G130" xr:uid="{00000000-0009-0000-0100-000006000000}">
    <filterColumn colId="0">
      <customFilters>
        <customFilter operator="notEqual" val=" "/>
      </customFilters>
    </filterColumn>
  </autoFilter>
  <tableColumns count="6">
    <tableColumn id="1" xr3:uid="{00000000-0010-0000-0500-000001000000}" name="year"/>
    <tableColumn id="2" xr3:uid="{00000000-0010-0000-0500-000002000000}" name="N_CD4_1_D"/>
    <tableColumn id="3" xr3:uid="{00000000-0010-0000-0500-000003000000}" name="N_CD4_1_Obs_M"/>
    <tableColumn id="4" xr3:uid="{00000000-0010-0000-0500-000004000000}" name="N_CD4_1_Obs_M_LB"/>
    <tableColumn id="5" xr3:uid="{00000000-0010-0000-0500-000005000000}" name="N_CD4_1_Obs_M_UB"/>
    <tableColumn id="6" xr3:uid="{00000000-0010-0000-0500-000006000000}" name="Min-max"/>
  </tableColumns>
  <tableStyleInfo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AIDSdiagnoses" displayName="tblAIDSdiagnoses" ref="B390:G450" totalsRowShown="0">
  <autoFilter ref="B390:G450" xr:uid="{00000000-0009-0000-0100-000007000000}">
    <filterColumn colId="0">
      <customFilters>
        <customFilter operator="notEqual" val=" "/>
      </customFilters>
    </filterColumn>
  </autoFilter>
  <tableColumns count="6">
    <tableColumn id="1" xr3:uid="{00000000-0010-0000-0600-000001000000}" name="year"/>
    <tableColumn id="2" xr3:uid="{00000000-0010-0000-0600-000002000000}" name="N_AIDS_D"/>
    <tableColumn id="3" xr3:uid="{00000000-0010-0000-0600-000003000000}" name="N_AIDS_M"/>
    <tableColumn id="4" xr3:uid="{00000000-0010-0000-0600-000004000000}" name="N_AIDS_M_LB"/>
    <tableColumn id="5" xr3:uid="{00000000-0010-0000-0600-000005000000}" name="N_AIDS_M_UB"/>
    <tableColumn id="6" xr3:uid="{00000000-0010-0000-0600-000006000000}" name="Min-max"/>
  </tableColumns>
  <tableStyleInfo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HIVinfections" displayName="tblHIVinfections" ref="B3:F63" totalsRowShown="0">
  <autoFilter ref="B3:F63" xr:uid="{00000000-0009-0000-0100-000008000000}">
    <filterColumn colId="0">
      <customFilters>
        <customFilter operator="notEqual" val=" "/>
      </customFilters>
    </filterColumn>
  </autoFilter>
  <tableColumns count="5">
    <tableColumn id="1" xr3:uid="{00000000-0010-0000-0700-000001000000}" name="year"/>
    <tableColumn id="2" xr3:uid="{00000000-0010-0000-0700-000002000000}" name="N_Inf_M"/>
    <tableColumn id="3" xr3:uid="{00000000-0010-0000-0700-000003000000}" name="N_Inf_M_LB"/>
    <tableColumn id="4" xr3:uid="{00000000-0010-0000-0700-000004000000}" name="N_Inf_M_UB"/>
    <tableColumn id="5" xr3:uid="{00000000-0010-0000-0700-000005000000}" name="Min-max"/>
  </tableColumns>
  <tableStyleInfo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PropUndiag" displayName="tblPropUndiag" ref="B195:F255" totalsRowShown="0">
  <autoFilter ref="B195:F255" xr:uid="{00000000-0009-0000-0100-000009000000}">
    <filterColumn colId="0">
      <customFilters>
        <customFilter operator="notEqual" val=" "/>
      </customFilters>
    </filterColumn>
  </autoFilter>
  <tableColumns count="5">
    <tableColumn id="1" xr3:uid="{00000000-0010-0000-0800-000001000000}" name="year"/>
    <tableColumn id="2" xr3:uid="{00000000-0010-0000-0800-000002000000}" name="N_Und_Alive_p"/>
    <tableColumn id="3" xr3:uid="{00000000-0010-0000-0800-000003000000}" name="N_Und_Alive_p_LB"/>
    <tableColumn id="4" xr3:uid="{00000000-0010-0000-0800-000004000000}" name="N_Und_Alive_p_UB"/>
    <tableColumn id="5" xr3:uid="{00000000-0010-0000-0800-000005000000}" name="Min-max"/>
  </tableColumns>
  <tableStyleInfo showFirstColumn="1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otalInfected" displayName="tblTotalInfected" ref="B131:N191" totalsRowShown="0">
  <autoFilter ref="B131:N191" xr:uid="{00000000-0009-0000-0100-00000A000000}">
    <filterColumn colId="0">
      <customFilters>
        <customFilter operator="notEqual" val=" "/>
      </customFilters>
    </filterColumn>
  </autoFilter>
  <tableColumns count="13">
    <tableColumn id="1" xr3:uid="{00000000-0010-0000-0900-000001000000}" name="year"/>
    <tableColumn id="2" xr3:uid="{00000000-0010-0000-0900-000002000000}" name="N_Alive"/>
    <tableColumn id="3" xr3:uid="{00000000-0010-0000-0900-000003000000}" name="N_Alive_LB"/>
    <tableColumn id="4" xr3:uid="{00000000-0010-0000-0900-000004000000}" name="N_Alive_UB"/>
    <tableColumn id="5" xr3:uid="{00000000-0010-0000-0900-000005000000}" name="Alive Min-max"/>
    <tableColumn id="6" xr3:uid="{00000000-0010-0000-0900-000006000000}" name="N_Alive_Diag_M"/>
    <tableColumn id="7" xr3:uid="{00000000-0010-0000-0900-000007000000}" name="N_Alive_Diag_M_LB"/>
    <tableColumn id="8" xr3:uid="{00000000-0010-0000-0900-000008000000}" name="N_Alive_Diag_M_UB"/>
    <tableColumn id="9" xr3:uid="{00000000-0010-0000-0900-000009000000}" name="Diag Min-max"/>
    <tableColumn id="10" xr3:uid="{00000000-0010-0000-0900-00000A000000}" name="N_Und"/>
    <tableColumn id="11" xr3:uid="{00000000-0010-0000-0900-00000B000000}" name="N_Und_LB"/>
    <tableColumn id="12" xr3:uid="{00000000-0010-0000-0900-00000C000000}" name="N_Und_UB"/>
    <tableColumn id="13" xr3:uid="{00000000-0010-0000-0900-00000D000000}" name="Undiag Min-max"/>
  </tableColumns>
  <tableStyleInfo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TimeToDiag" displayName="tblTimeToDiag" ref="B67:F127" totalsRowShown="0">
  <autoFilter ref="B67:F127" xr:uid="{00000000-0009-0000-0100-00000B000000}">
    <filterColumn colId="0">
      <customFilters>
        <customFilter operator="notEqual" val=" "/>
      </customFilters>
    </filterColumn>
  </autoFilter>
  <tableColumns count="5">
    <tableColumn id="1" xr3:uid="{00000000-0010-0000-0A00-000001000000}" name="year"/>
    <tableColumn id="2" xr3:uid="{00000000-0010-0000-0A00-000002000000}" name="t_diag"/>
    <tableColumn id="3" xr3:uid="{00000000-0010-0000-0A00-000003000000}" name="t_diag_LB"/>
    <tableColumn id="4" xr3:uid="{00000000-0010-0000-0A00-000004000000}" name="t_diag_UB"/>
    <tableColumn id="5" xr3:uid="{00000000-0010-0000-0A00-000005000000}" name="Min-max"/>
  </tableColumns>
  <tableStyleInfo showFirstColumn="1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autoPageBreaks="0"/>
  </sheetPr>
  <dimension ref="A4:T450"/>
  <sheetViews>
    <sheetView showGridLines="0" topLeftCell="A17" workbookViewId="0"/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4.28515625" customWidth="1" style="1"/>
    <col min="9" max="9" width="9.140625" customWidth="1" style="1"/>
    <col min="10" max="10" width="9.140625" customWidth="1" style="1"/>
    <col min="11" max="11" width="9.140625" customWidth="1" style="1"/>
    <col min="12" max="12" width="9.140625" customWidth="1" style="1"/>
    <col min="13" max="13" width="9.140625" customWidth="1" style="1"/>
    <col min="14" max="14" width="9.1406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20" width="9.140625" customWidth="1" style="1"/>
    <col min="21" max="16384" width="9.140625" customWidth="1" style="1"/>
  </cols>
  <sheetData>
    <row r="4" ht="19.5" customHeight="1">
      <c r="A4" s="16" t="s">
        <v>0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ht="15" customHeight="1">
      <c r="B5" s="4"/>
      <c r="C5" s="5" t="s">
        <v>1</v>
      </c>
      <c r="D5" s="5" t="s">
        <v>2</v>
      </c>
      <c r="E5" s="17" t="s">
        <v>3</v>
      </c>
      <c r="F5" s="18"/>
      <c r="G5" s="19"/>
    </row>
    <row r="6" ht="22.5" customHeight="1">
      <c r="A6" s="6" t="s">
        <v>4</v>
      </c>
      <c r="B6" s="7" t="s">
        <v>5</v>
      </c>
      <c r="C6" s="7" t="s">
        <v>6</v>
      </c>
      <c r="D6" s="7" t="s">
        <v>7</v>
      </c>
      <c r="E6" s="7" t="s">
        <v>8</v>
      </c>
      <c r="F6" s="7" t="s">
        <v>9</v>
      </c>
      <c r="G6" s="8" t="s">
        <v>3</v>
      </c>
    </row>
    <row r="7">
      <c r="A7" s="9">
        <v>1</v>
      </c>
      <c r="B7" s="10">
        <f>IF(INDEX(rngYear,A7+1)&lt;&gt;0,INDEX(rngYear,A7+1),"")</f>
        <v>1980</v>
      </c>
      <c r="C7" s="11">
        <f>IFERROR(INDEX(rngData,MATCH($B7,rngYear,0),MATCH(OFFSET(C7,-$A7,0),rngColumnNames,0)),"")</f>
        <v>2</v>
      </c>
      <c r="D7" s="11">
        <f>IFERROR(INDEX(rngData,MATCH($B7,rngYear,0),MATCH(OFFSET(D7,-$A7,0),rngColumnNames,0)),"")</f>
        <v>0.512307</v>
      </c>
      <c r="E7" s="11">
        <f>IFERROR(INDEX(rngData,MATCH($B7,rngYear,0),MATCH(OFFSET(E7,-$A7,0),rngColumnNames,0)),"")</f>
        <v>0.499147</v>
      </c>
      <c r="F7" s="11">
        <f>IFERROR(INDEX(rngData,MATCH($B7,rngYear,0),MATCH(OFFSET(F7,-$A7,0),rngColumnNames,0)),"")</f>
        <v>0.526884</v>
      </c>
      <c r="G7" s="11">
        <f ref="G7:G38" t="shared" si="0">IFERROR(F7-E7,"")</f>
        <v>0.027737000000000012</v>
      </c>
    </row>
    <row r="8">
      <c r="A8" s="9">
        <f ref="A8:A39" t="shared" si="1">A7+1</f>
        <v>2</v>
      </c>
      <c r="B8" s="10">
        <f>IF(INDEX(rngYear,A8+1)&lt;&gt;0,INDEX(rngYear,A8+1),"")</f>
        <v>1981</v>
      </c>
      <c r="C8" s="11">
        <f>IFERROR(INDEX(rngData,MATCH($B8,rngYear,0),MATCH(OFFSET(C8,-$A8,0),rngColumnNames,0)),"")</f>
        <v>1</v>
      </c>
      <c r="D8" s="11">
        <f>IFERROR(INDEX(rngData,MATCH($B8,rngYear,0),MATCH(OFFSET(D8,-$A8,0),rngColumnNames,0)),"")</f>
        <v>6.51325</v>
      </c>
      <c r="E8" s="11">
        <f>IFERROR(INDEX(rngData,MATCH($B8,rngYear,0),MATCH(OFFSET(E8,-$A8,0),rngColumnNames,0)),"")</f>
        <v>6.348785</v>
      </c>
      <c r="F8" s="11">
        <f>IFERROR(INDEX(rngData,MATCH($B8,rngYear,0),MATCH(OFFSET(F8,-$A8,0),rngColumnNames,0)),"")</f>
        <v>6.694362</v>
      </c>
      <c r="G8" s="11">
        <f t="shared" si="0"/>
        <v>0.34557699999999958</v>
      </c>
    </row>
    <row r="9">
      <c r="A9" s="9">
        <f t="shared" si="1"/>
        <v>3</v>
      </c>
      <c r="B9" s="10">
        <f>IF(INDEX(rngYear,A9+1)&lt;&gt;0,INDEX(rngYear,A9+1),"")</f>
        <v>1982</v>
      </c>
      <c r="C9" s="11">
        <f>IFERROR(INDEX(rngData,MATCH($B9,rngYear,0),MATCH(OFFSET(C9,-$A9,0),rngColumnNames,0)),"")</f>
        <v>2</v>
      </c>
      <c r="D9" s="11">
        <f>IFERROR(INDEX(rngData,MATCH($B9,rngYear,0),MATCH(OFFSET(D9,-$A9,0),rngColumnNames,0)),"")</f>
        <v>23.360227</v>
      </c>
      <c r="E9" s="11">
        <f>IFERROR(INDEX(rngData,MATCH($B9,rngYear,0),MATCH(OFFSET(E9,-$A9,0),rngColumnNames,0)),"")</f>
        <v>22.782589</v>
      </c>
      <c r="F9" s="11">
        <f>IFERROR(INDEX(rngData,MATCH($B9,rngYear,0),MATCH(OFFSET(F9,-$A9,0),rngColumnNames,0)),"")</f>
        <v>23.986687</v>
      </c>
      <c r="G9" s="11">
        <f t="shared" si="0"/>
        <v>1.2040979999999983</v>
      </c>
    </row>
    <row r="10">
      <c r="A10" s="9">
        <f t="shared" si="1"/>
        <v>4</v>
      </c>
      <c r="B10" s="10">
        <f>IF(INDEX(rngYear,A10+1)&lt;&gt;0,INDEX(rngYear,A10+1),"")</f>
        <v>1983</v>
      </c>
      <c r="C10" s="11">
        <f>IFERROR(INDEX(rngData,MATCH($B10,rngYear,0),MATCH(OFFSET(C10,-$A10,0),rngColumnNames,0)),"")</f>
        <v>19.05918</v>
      </c>
      <c r="D10" s="11">
        <f>IFERROR(INDEX(rngData,MATCH($B10,rngYear,0),MATCH(OFFSET(D10,-$A10,0),rngColumnNames,0)),"")</f>
        <v>53.22372</v>
      </c>
      <c r="E10" s="11">
        <f>IFERROR(INDEX(rngData,MATCH($B10,rngYear,0),MATCH(OFFSET(E10,-$A10,0),rngColumnNames,0)),"")</f>
        <v>51.93808</v>
      </c>
      <c r="F10" s="11">
        <f>IFERROR(INDEX(rngData,MATCH($B10,rngYear,0),MATCH(OFFSET(F10,-$A10,0),rngColumnNames,0)),"")</f>
        <v>54.610253</v>
      </c>
      <c r="G10" s="11">
        <f t="shared" si="0"/>
        <v>2.6721730000000008</v>
      </c>
    </row>
    <row r="11">
      <c r="A11" s="9">
        <f t="shared" si="1"/>
        <v>5</v>
      </c>
      <c r="B11" s="10">
        <f>IF(INDEX(rngYear,A11+1)&lt;&gt;0,INDEX(rngYear,A11+1),"")</f>
        <v>1984</v>
      </c>
      <c r="C11" s="11">
        <f>IFERROR(INDEX(rngData,MATCH($B11,rngYear,0),MATCH(OFFSET(C11,-$A11,0),rngColumnNames,0)),"")</f>
        <v>465.83273</v>
      </c>
      <c r="D11" s="11">
        <f>IFERROR(INDEX(rngData,MATCH($B11,rngYear,0),MATCH(OFFSET(D11,-$A11,0),rngColumnNames,0)),"")</f>
        <v>567.836279</v>
      </c>
      <c r="E11" s="11">
        <f>IFERROR(INDEX(rngData,MATCH($B11,rngYear,0),MATCH(OFFSET(E11,-$A11,0),rngColumnNames,0)),"")</f>
        <v>518.676367</v>
      </c>
      <c r="F11" s="11">
        <f>IFERROR(INDEX(rngData,MATCH($B11,rngYear,0),MATCH(OFFSET(F11,-$A11,0),rngColumnNames,0)),"")</f>
        <v>604.726308</v>
      </c>
      <c r="G11" s="11">
        <f t="shared" si="0"/>
        <v>86.04994099999999</v>
      </c>
    </row>
    <row r="12">
      <c r="A12" s="9">
        <f t="shared" si="1"/>
        <v>6</v>
      </c>
      <c r="B12" s="10">
        <f>IF(INDEX(rngYear,A12+1)&lt;&gt;0,INDEX(rngYear,A12+1),"")</f>
        <v>1985</v>
      </c>
      <c r="C12" s="11">
        <f>IFERROR(INDEX(rngData,MATCH($B12,rngYear,0),MATCH(OFFSET(C12,-$A12,0),rngColumnNames,0)),"")</f>
        <v>1875.721239</v>
      </c>
      <c r="D12" s="11">
        <f>IFERROR(INDEX(rngData,MATCH($B12,rngYear,0),MATCH(OFFSET(D12,-$A12,0),rngColumnNames,0)),"")</f>
        <v>728.811853</v>
      </c>
      <c r="E12" s="11">
        <f>IFERROR(INDEX(rngData,MATCH($B12,rngYear,0),MATCH(OFFSET(E12,-$A12,0),rngColumnNames,0)),"")</f>
        <v>681.908447</v>
      </c>
      <c r="F12" s="11">
        <f>IFERROR(INDEX(rngData,MATCH($B12,rngYear,0),MATCH(OFFSET(F12,-$A12,0),rngColumnNames,0)),"")</f>
        <v>766.258768</v>
      </c>
      <c r="G12" s="11">
        <f t="shared" si="0"/>
        <v>84.350321000000008</v>
      </c>
    </row>
    <row r="13">
      <c r="A13" s="9">
        <f t="shared" si="1"/>
        <v>7</v>
      </c>
      <c r="B13" s="10">
        <f>IF(INDEX(rngYear,A13+1)&lt;&gt;0,INDEX(rngYear,A13+1),"")</f>
        <v>1986</v>
      </c>
      <c r="C13" s="11">
        <f>IFERROR(INDEX(rngData,MATCH($B13,rngYear,0),MATCH(OFFSET(C13,-$A13,0),rngColumnNames,0)),"")</f>
        <v>1710.991518</v>
      </c>
      <c r="D13" s="11">
        <f>IFERROR(INDEX(rngData,MATCH($B13,rngYear,0),MATCH(OFFSET(D13,-$A13,0),rngColumnNames,0)),"")</f>
        <v>915.53534</v>
      </c>
      <c r="E13" s="11">
        <f>IFERROR(INDEX(rngData,MATCH($B13,rngYear,0),MATCH(OFFSET(E13,-$A13,0),rngColumnNames,0)),"")</f>
        <v>870.656392</v>
      </c>
      <c r="F13" s="11">
        <f>IFERROR(INDEX(rngData,MATCH($B13,rngYear,0),MATCH(OFFSET(F13,-$A13,0),rngColumnNames,0)),"")</f>
        <v>950.998565</v>
      </c>
      <c r="G13" s="11">
        <f t="shared" si="0"/>
        <v>80.342173</v>
      </c>
    </row>
    <row r="14">
      <c r="A14" s="9">
        <f t="shared" si="1"/>
        <v>8</v>
      </c>
      <c r="B14" s="10">
        <f>IF(INDEX(rngYear,A14+1)&lt;&gt;0,INDEX(rngYear,A14+1),"")</f>
        <v>1987</v>
      </c>
      <c r="C14" s="11">
        <f>IFERROR(INDEX(rngData,MATCH($B14,rngYear,0),MATCH(OFFSET(C14,-$A14,0),rngColumnNames,0)),"")</f>
        <v>1680.213513</v>
      </c>
      <c r="D14" s="11">
        <f>IFERROR(INDEX(rngData,MATCH($B14,rngYear,0),MATCH(OFFSET(D14,-$A14,0),rngColumnNames,0)),"")</f>
        <v>1087.787153</v>
      </c>
      <c r="E14" s="11">
        <f>IFERROR(INDEX(rngData,MATCH($B14,rngYear,0),MATCH(OFFSET(E14,-$A14,0),rngColumnNames,0)),"")</f>
        <v>1043.815422</v>
      </c>
      <c r="F14" s="11">
        <f>IFERROR(INDEX(rngData,MATCH($B14,rngYear,0),MATCH(OFFSET(F14,-$A14,0),rngColumnNames,0)),"")</f>
        <v>1124.749733</v>
      </c>
      <c r="G14" s="11">
        <f t="shared" si="0"/>
        <v>80.9343110000002</v>
      </c>
    </row>
    <row r="15">
      <c r="A15" s="9">
        <f t="shared" si="1"/>
        <v>9</v>
      </c>
      <c r="B15" s="10">
        <f>IF(INDEX(rngYear,A15+1)&lt;&gt;0,INDEX(rngYear,A15+1),"")</f>
        <v>1988</v>
      </c>
      <c r="C15" s="11">
        <f>IFERROR(INDEX(rngData,MATCH($B15,rngYear,0),MATCH(OFFSET(C15,-$A15,0),rngColumnNames,0)),"")</f>
        <v>1475.65455</v>
      </c>
      <c r="D15" s="11">
        <f>IFERROR(INDEX(rngData,MATCH($B15,rngYear,0),MATCH(OFFSET(D15,-$A15,0),rngColumnNames,0)),"")</f>
        <v>1225.081408</v>
      </c>
      <c r="E15" s="11">
        <f>IFERROR(INDEX(rngData,MATCH($B15,rngYear,0),MATCH(OFFSET(E15,-$A15,0),rngColumnNames,0)),"")</f>
        <v>1186.874328</v>
      </c>
      <c r="F15" s="11">
        <f>IFERROR(INDEX(rngData,MATCH($B15,rngYear,0),MATCH(OFFSET(F15,-$A15,0),rngColumnNames,0)),"")</f>
        <v>1265.81754</v>
      </c>
      <c r="G15" s="11">
        <f t="shared" si="0"/>
        <v>78.9432119999999</v>
      </c>
    </row>
    <row r="16">
      <c r="A16" s="9">
        <f t="shared" si="1"/>
        <v>10</v>
      </c>
      <c r="B16" s="10">
        <f>IF(INDEX(rngYear,A16+1)&lt;&gt;0,INDEX(rngYear,A16+1),"")</f>
        <v>1989</v>
      </c>
      <c r="C16" s="11">
        <f>IFERROR(INDEX(rngData,MATCH($B16,rngYear,0),MATCH(OFFSET(C16,-$A16,0),rngColumnNames,0)),"")</f>
        <v>1530.72937</v>
      </c>
      <c r="D16" s="11">
        <f>IFERROR(INDEX(rngData,MATCH($B16,rngYear,0),MATCH(OFFSET(D16,-$A16,0),rngColumnNames,0)),"")</f>
        <v>1316.573145</v>
      </c>
      <c r="E16" s="11">
        <f>IFERROR(INDEX(rngData,MATCH($B16,rngYear,0),MATCH(OFFSET(E16,-$A16,0),rngColumnNames,0)),"")</f>
        <v>1280.103114</v>
      </c>
      <c r="F16" s="11">
        <f>IFERROR(INDEX(rngData,MATCH($B16,rngYear,0),MATCH(OFFSET(F16,-$A16,0),rngColumnNames,0)),"")</f>
        <v>1356.887437</v>
      </c>
      <c r="G16" s="11">
        <f t="shared" si="0"/>
        <v>76.784323000000086</v>
      </c>
    </row>
    <row r="17">
      <c r="A17" s="9">
        <f t="shared" si="1"/>
        <v>11</v>
      </c>
      <c r="B17" s="10">
        <f>IF(INDEX(rngYear,A17+1)&lt;&gt;0,INDEX(rngYear,A17+1),"")</f>
        <v>1990</v>
      </c>
      <c r="C17" s="11">
        <f>IFERROR(INDEX(rngData,MATCH($B17,rngYear,0),MATCH(OFFSET(C17,-$A17,0),rngColumnNames,0)),"")</f>
        <v>1385.407078</v>
      </c>
      <c r="D17" s="11">
        <f>IFERROR(INDEX(rngData,MATCH($B17,rngYear,0),MATCH(OFFSET(D17,-$A17,0),rngColumnNames,0)),"")</f>
        <v>1358.342311</v>
      </c>
      <c r="E17" s="11">
        <f>IFERROR(INDEX(rngData,MATCH($B17,rngYear,0),MATCH(OFFSET(E17,-$A17,0),rngColumnNames,0)),"")</f>
        <v>1319.284629</v>
      </c>
      <c r="F17" s="11">
        <f>IFERROR(INDEX(rngData,MATCH($B17,rngYear,0),MATCH(OFFSET(F17,-$A17,0),rngColumnNames,0)),"")</f>
        <v>1399.931934</v>
      </c>
      <c r="G17" s="11">
        <f t="shared" si="0"/>
        <v>80.64730499999996</v>
      </c>
    </row>
    <row r="18">
      <c r="A18" s="9">
        <f t="shared" si="1"/>
        <v>12</v>
      </c>
      <c r="B18" s="10">
        <f>IF(INDEX(rngYear,A18+1)&lt;&gt;0,INDEX(rngYear,A18+1),"")</f>
        <v>1991</v>
      </c>
      <c r="C18" s="11">
        <f>IFERROR(INDEX(rngData,MATCH($B18,rngYear,0),MATCH(OFFSET(C18,-$A18,0),rngColumnNames,0)),"")</f>
        <v>1238.191459</v>
      </c>
      <c r="D18" s="11">
        <f>IFERROR(INDEX(rngData,MATCH($B18,rngYear,0),MATCH(OFFSET(D18,-$A18,0),rngColumnNames,0)),"")</f>
        <v>1352.176113</v>
      </c>
      <c r="E18" s="11">
        <f>IFERROR(INDEX(rngData,MATCH($B18,rngYear,0),MATCH(OFFSET(E18,-$A18,0),rngColumnNames,0)),"")</f>
        <v>1314.345465</v>
      </c>
      <c r="F18" s="11">
        <f>IFERROR(INDEX(rngData,MATCH($B18,rngYear,0),MATCH(OFFSET(F18,-$A18,0),rngColumnNames,0)),"")</f>
        <v>1393.068409</v>
      </c>
      <c r="G18" s="11">
        <f t="shared" si="0"/>
        <v>78.72294399999987</v>
      </c>
    </row>
    <row r="19">
      <c r="A19" s="9">
        <f t="shared" si="1"/>
        <v>13</v>
      </c>
      <c r="B19" s="10">
        <f>IF(INDEX(rngYear,A19+1)&lt;&gt;0,INDEX(rngYear,A19+1),"")</f>
        <v>1992</v>
      </c>
      <c r="C19" s="11">
        <f>IFERROR(INDEX(rngData,MATCH($B19,rngYear,0),MATCH(OFFSET(C19,-$A19,0),rngColumnNames,0)),"")</f>
        <v>1167.481757</v>
      </c>
      <c r="D19" s="11">
        <f>IFERROR(INDEX(rngData,MATCH($B19,rngYear,0),MATCH(OFFSET(D19,-$A19,0),rngColumnNames,0)),"")</f>
        <v>1304.470716</v>
      </c>
      <c r="E19" s="11">
        <f>IFERROR(INDEX(rngData,MATCH($B19,rngYear,0),MATCH(OFFSET(E19,-$A19,0),rngColumnNames,0)),"")</f>
        <v>1269.684823</v>
      </c>
      <c r="F19" s="11">
        <f>IFERROR(INDEX(rngData,MATCH($B19,rngYear,0),MATCH(OFFSET(F19,-$A19,0),rngColumnNames,0)),"")</f>
        <v>1340.163658</v>
      </c>
      <c r="G19" s="11">
        <f t="shared" si="0"/>
        <v>70.47883499999989</v>
      </c>
    </row>
    <row r="20">
      <c r="A20" s="9">
        <f t="shared" si="1"/>
        <v>14</v>
      </c>
      <c r="B20" s="10">
        <f>IF(INDEX(rngYear,A20+1)&lt;&gt;0,INDEX(rngYear,A20+1),"")</f>
        <v>1993</v>
      </c>
      <c r="C20" s="11">
        <f>IFERROR(INDEX(rngData,MATCH($B20,rngYear,0),MATCH(OFFSET(C20,-$A20,0),rngColumnNames,0)),"")</f>
        <v>1011.174018</v>
      </c>
      <c r="D20" s="11">
        <f>IFERROR(INDEX(rngData,MATCH($B20,rngYear,0),MATCH(OFFSET(D20,-$A20,0),rngColumnNames,0)),"")</f>
        <v>1217.579264</v>
      </c>
      <c r="E20" s="11">
        <f>IFERROR(INDEX(rngData,MATCH($B20,rngYear,0),MATCH(OFFSET(E20,-$A20,0),rngColumnNames,0)),"")</f>
        <v>1192.835533</v>
      </c>
      <c r="F20" s="11">
        <f>IFERROR(INDEX(rngData,MATCH($B20,rngYear,0),MATCH(OFFSET(F20,-$A20,0),rngColumnNames,0)),"")</f>
        <v>1240.065144</v>
      </c>
      <c r="G20" s="11">
        <f t="shared" si="0"/>
        <v>47.229610999999977</v>
      </c>
    </row>
    <row r="21">
      <c r="A21" s="9">
        <f t="shared" si="1"/>
        <v>15</v>
      </c>
      <c r="B21" s="10">
        <f>IF(INDEX(rngYear,A21+1)&lt;&gt;0,INDEX(rngYear,A21+1),"")</f>
        <v>1994</v>
      </c>
      <c r="C21" s="11">
        <f>IFERROR(INDEX(rngData,MATCH($B21,rngYear,0),MATCH(OFFSET(C21,-$A21,0),rngColumnNames,0)),"")</f>
        <v>877.794692</v>
      </c>
      <c r="D21" s="11">
        <f>IFERROR(INDEX(rngData,MATCH($B21,rngYear,0),MATCH(OFFSET(D21,-$A21,0),rngColumnNames,0)),"")</f>
        <v>1108.12236</v>
      </c>
      <c r="E21" s="11">
        <f>IFERROR(INDEX(rngData,MATCH($B21,rngYear,0),MATCH(OFFSET(E21,-$A21,0),rngColumnNames,0)),"")</f>
        <v>1082.385946</v>
      </c>
      <c r="F21" s="11">
        <f>IFERROR(INDEX(rngData,MATCH($B21,rngYear,0),MATCH(OFFSET(F21,-$A21,0),rngColumnNames,0)),"")</f>
        <v>1131.985933</v>
      </c>
      <c r="G21" s="11">
        <f t="shared" si="0"/>
        <v>49.599986999999828</v>
      </c>
    </row>
    <row r="22">
      <c r="A22" s="9">
        <f t="shared" si="1"/>
        <v>16</v>
      </c>
      <c r="B22" s="10">
        <f>IF(INDEX(rngYear,A22+1)&lt;&gt;0,INDEX(rngYear,A22+1),"")</f>
        <v>1995</v>
      </c>
      <c r="C22" s="11">
        <f>IFERROR(INDEX(rngData,MATCH($B22,rngYear,0),MATCH(OFFSET(C22,-$A22,0),rngColumnNames,0)),"")</f>
        <v>892.378656</v>
      </c>
      <c r="D22" s="11">
        <f>IFERROR(INDEX(rngData,MATCH($B22,rngYear,0),MATCH(OFFSET(D22,-$A22,0),rngColumnNames,0)),"")</f>
        <v>998.995985</v>
      </c>
      <c r="E22" s="11">
        <f>IFERROR(INDEX(rngData,MATCH($B22,rngYear,0),MATCH(OFFSET(E22,-$A22,0),rngColumnNames,0)),"")</f>
        <v>975.734372</v>
      </c>
      <c r="F22" s="11">
        <f>IFERROR(INDEX(rngData,MATCH($B22,rngYear,0),MATCH(OFFSET(F22,-$A22,0),rngColumnNames,0)),"")</f>
        <v>1023.030925</v>
      </c>
      <c r="G22" s="11">
        <f t="shared" si="0"/>
        <v>47.296553000000017</v>
      </c>
    </row>
    <row r="23">
      <c r="A23" s="9">
        <f t="shared" si="1"/>
        <v>17</v>
      </c>
      <c r="B23" s="10">
        <f>IF(INDEX(rngYear,A23+1)&lt;&gt;0,INDEX(rngYear,A23+1),"")</f>
        <v>1996</v>
      </c>
      <c r="C23" s="11">
        <f>IFERROR(INDEX(rngData,MATCH($B23,rngYear,0),MATCH(OFFSET(C23,-$A23,0),rngColumnNames,0)),"")</f>
        <v>884.279974</v>
      </c>
      <c r="D23" s="11">
        <f>IFERROR(INDEX(rngData,MATCH($B23,rngYear,0),MATCH(OFFSET(D23,-$A23,0),rngColumnNames,0)),"")</f>
        <v>900.335621</v>
      </c>
      <c r="E23" s="11">
        <f>IFERROR(INDEX(rngData,MATCH($B23,rngYear,0),MATCH(OFFSET(E23,-$A23,0),rngColumnNames,0)),"")</f>
        <v>876.845774</v>
      </c>
      <c r="F23" s="11">
        <f>IFERROR(INDEX(rngData,MATCH($B23,rngYear,0),MATCH(OFFSET(F23,-$A23,0),rngColumnNames,0)),"")</f>
        <v>926.219535</v>
      </c>
      <c r="G23" s="11">
        <f t="shared" si="0"/>
        <v>49.373760999999945</v>
      </c>
    </row>
    <row r="24">
      <c r="A24" s="9">
        <f t="shared" si="1"/>
        <v>18</v>
      </c>
      <c r="B24" s="10">
        <f>IF(INDEX(rngYear,A24+1)&lt;&gt;0,INDEX(rngYear,A24+1),"")</f>
        <v>1997</v>
      </c>
      <c r="C24" s="11">
        <f>IFERROR(INDEX(rngData,MATCH($B24,rngYear,0),MATCH(OFFSET(C24,-$A24,0),rngColumnNames,0)),"")</f>
        <v>722.820269</v>
      </c>
      <c r="D24" s="11">
        <f>IFERROR(INDEX(rngData,MATCH($B24,rngYear,0),MATCH(OFFSET(D24,-$A24,0),rngColumnNames,0)),"")</f>
        <v>818.367459</v>
      </c>
      <c r="E24" s="11">
        <f>IFERROR(INDEX(rngData,MATCH($B24,rngYear,0),MATCH(OFFSET(E24,-$A24,0),rngColumnNames,0)),"")</f>
        <v>796.003985</v>
      </c>
      <c r="F24" s="11">
        <f>IFERROR(INDEX(rngData,MATCH($B24,rngYear,0),MATCH(OFFSET(F24,-$A24,0),rngColumnNames,0)),"")</f>
        <v>845.09708</v>
      </c>
      <c r="G24" s="11">
        <f t="shared" si="0"/>
        <v>49.093095000000062</v>
      </c>
    </row>
    <row r="25">
      <c r="A25" s="9">
        <f t="shared" si="1"/>
        <v>19</v>
      </c>
      <c r="B25" s="10">
        <f>IF(INDEX(rngYear,A25+1)&lt;&gt;0,INDEX(rngYear,A25+1),"")</f>
        <v>1998</v>
      </c>
      <c r="C25" s="11">
        <f>IFERROR(INDEX(rngData,MATCH($B25,rngYear,0),MATCH(OFFSET(C25,-$A25,0),rngColumnNames,0)),"")</f>
        <v>672.771933</v>
      </c>
      <c r="D25" s="11">
        <f>IFERROR(INDEX(rngData,MATCH($B25,rngYear,0),MATCH(OFFSET(D25,-$A25,0),rngColumnNames,0)),"")</f>
        <v>756.325857</v>
      </c>
      <c r="E25" s="11">
        <f>IFERROR(INDEX(rngData,MATCH($B25,rngYear,0),MATCH(OFFSET(E25,-$A25,0),rngColumnNames,0)),"")</f>
        <v>736.101596</v>
      </c>
      <c r="F25" s="11">
        <f>IFERROR(INDEX(rngData,MATCH($B25,rngYear,0),MATCH(OFFSET(F25,-$A25,0),rngColumnNames,0)),"")</f>
        <v>779.944641</v>
      </c>
      <c r="G25" s="11">
        <f t="shared" si="0"/>
        <v>43.843045000000075</v>
      </c>
    </row>
    <row r="26">
      <c r="A26" s="9">
        <f t="shared" si="1"/>
        <v>20</v>
      </c>
      <c r="B26" s="10">
        <f>IF(INDEX(rngYear,A26+1)&lt;&gt;0,INDEX(rngYear,A26+1),"")</f>
        <v>1999</v>
      </c>
      <c r="C26" s="11">
        <f>IFERROR(INDEX(rngData,MATCH($B26,rngYear,0),MATCH(OFFSET(C26,-$A26,0),rngColumnNames,0)),"")</f>
        <v>718.702003</v>
      </c>
      <c r="D26" s="11">
        <f>IFERROR(INDEX(rngData,MATCH($B26,rngYear,0),MATCH(OFFSET(D26,-$A26,0),rngColumnNames,0)),"")</f>
        <v>715.290435</v>
      </c>
      <c r="E26" s="11">
        <f>IFERROR(INDEX(rngData,MATCH($B26,rngYear,0),MATCH(OFFSET(E26,-$A26,0),rngColumnNames,0)),"")</f>
        <v>696.546035</v>
      </c>
      <c r="F26" s="11">
        <f>IFERROR(INDEX(rngData,MATCH($B26,rngYear,0),MATCH(OFFSET(F26,-$A26,0),rngColumnNames,0)),"")</f>
        <v>736.466534</v>
      </c>
      <c r="G26" s="11">
        <f t="shared" si="0"/>
        <v>39.920499000000063</v>
      </c>
    </row>
    <row r="27">
      <c r="A27" s="9">
        <f t="shared" si="1"/>
        <v>21</v>
      </c>
      <c r="B27" s="10">
        <f>IF(INDEX(rngYear,A27+1)&lt;&gt;0,INDEX(rngYear,A27+1),"")</f>
        <v>2000</v>
      </c>
      <c r="C27" s="11">
        <f>IFERROR(INDEX(rngData,MATCH($B27,rngYear,0),MATCH(OFFSET(C27,-$A27,0),rngColumnNames,0)),"")</f>
        <v>669.885782</v>
      </c>
      <c r="D27" s="11">
        <f>IFERROR(INDEX(rngData,MATCH($B27,rngYear,0),MATCH(OFFSET(D27,-$A27,0),rngColumnNames,0)),"")</f>
        <v>694.79497</v>
      </c>
      <c r="E27" s="11">
        <f>IFERROR(INDEX(rngData,MATCH($B27,rngYear,0),MATCH(OFFSET(E27,-$A27,0),rngColumnNames,0)),"")</f>
        <v>675.158257</v>
      </c>
      <c r="F27" s="11">
        <f>IFERROR(INDEX(rngData,MATCH($B27,rngYear,0),MATCH(OFFSET(F27,-$A27,0),rngColumnNames,0)),"")</f>
        <v>714.63523</v>
      </c>
      <c r="G27" s="11">
        <f t="shared" si="0"/>
        <v>39.47697299999993</v>
      </c>
    </row>
    <row r="28">
      <c r="A28" s="9">
        <f t="shared" si="1"/>
        <v>22</v>
      </c>
      <c r="B28" s="10">
        <f>IF(INDEX(rngYear,A28+1)&lt;&gt;0,INDEX(rngYear,A28+1),"")</f>
        <v>2001</v>
      </c>
      <c r="C28" s="11">
        <f>IFERROR(INDEX(rngData,MATCH($B28,rngYear,0),MATCH(OFFSET(C28,-$A28,0),rngColumnNames,0)),"")</f>
        <v>728.409172</v>
      </c>
      <c r="D28" s="11">
        <f>IFERROR(INDEX(rngData,MATCH($B28,rngYear,0),MATCH(OFFSET(D28,-$A28,0),rngColumnNames,0)),"")</f>
        <v>693.282187</v>
      </c>
      <c r="E28" s="11">
        <f>IFERROR(INDEX(rngData,MATCH($B28,rngYear,0),MATCH(OFFSET(E28,-$A28,0),rngColumnNames,0)),"")</f>
        <v>674.461227</v>
      </c>
      <c r="F28" s="11">
        <f>IFERROR(INDEX(rngData,MATCH($B28,rngYear,0),MATCH(OFFSET(F28,-$A28,0),rngColumnNames,0)),"")</f>
        <v>709.824897</v>
      </c>
      <c r="G28" s="11">
        <f t="shared" si="0"/>
        <v>35.363669999999956</v>
      </c>
    </row>
    <row r="29">
      <c r="A29" s="9">
        <f t="shared" si="1"/>
        <v>23</v>
      </c>
      <c r="B29" s="10">
        <f>IF(INDEX(rngYear,A29+1)&lt;&gt;0,INDEX(rngYear,A29+1),"")</f>
        <v>2002</v>
      </c>
      <c r="C29" s="11">
        <f>IFERROR(INDEX(rngData,MATCH($B29,rngYear,0),MATCH(OFFSET(C29,-$A29,0),rngColumnNames,0)),"")</f>
        <v>829.178741</v>
      </c>
      <c r="D29" s="11">
        <f>IFERROR(INDEX(rngData,MATCH($B29,rngYear,0),MATCH(OFFSET(D29,-$A29,0),rngColumnNames,0)),"")</f>
        <v>708.0806</v>
      </c>
      <c r="E29" s="11">
        <f>IFERROR(INDEX(rngData,MATCH($B29,rngYear,0),MATCH(OFFSET(E29,-$A29,0),rngColumnNames,0)),"")</f>
        <v>690.979959</v>
      </c>
      <c r="F29" s="11">
        <f>IFERROR(INDEX(rngData,MATCH($B29,rngYear,0),MATCH(OFFSET(F29,-$A29,0),rngColumnNames,0)),"")</f>
        <v>724.636393</v>
      </c>
      <c r="G29" s="11">
        <f t="shared" si="0"/>
        <v>33.65643399999999</v>
      </c>
    </row>
    <row r="30">
      <c r="A30" s="9">
        <f t="shared" si="1"/>
        <v>24</v>
      </c>
      <c r="B30" s="10">
        <f>IF(INDEX(rngYear,A30+1)&lt;&gt;0,INDEX(rngYear,A30+1),"")</f>
        <v>2003</v>
      </c>
      <c r="C30" s="11">
        <f>IFERROR(INDEX(rngData,MATCH($B30,rngYear,0),MATCH(OFFSET(C30,-$A30,0),rngColumnNames,0)),"")</f>
        <v>822.924274</v>
      </c>
      <c r="D30" s="11">
        <f>IFERROR(INDEX(rngData,MATCH($B30,rngYear,0),MATCH(OFFSET(D30,-$A30,0),rngColumnNames,0)),"")</f>
        <v>734.605116</v>
      </c>
      <c r="E30" s="11">
        <f>IFERROR(INDEX(rngData,MATCH($B30,rngYear,0),MATCH(OFFSET(E30,-$A30,0),rngColumnNames,0)),"")</f>
        <v>718.072975</v>
      </c>
      <c r="F30" s="11">
        <f>IFERROR(INDEX(rngData,MATCH($B30,rngYear,0),MATCH(OFFSET(F30,-$A30,0),rngColumnNames,0)),"")</f>
        <v>750.546841</v>
      </c>
      <c r="G30" s="11">
        <f t="shared" si="0"/>
        <v>32.47386599999993</v>
      </c>
    </row>
    <row r="31">
      <c r="A31" s="9">
        <f t="shared" si="1"/>
        <v>25</v>
      </c>
      <c r="B31" s="10">
        <f>IF(INDEX(rngYear,A31+1)&lt;&gt;0,INDEX(rngYear,A31+1),"")</f>
        <v>2004</v>
      </c>
      <c r="C31" s="11">
        <f>IFERROR(INDEX(rngData,MATCH($B31,rngYear,0),MATCH(OFFSET(C31,-$A31,0),rngColumnNames,0)),"")</f>
        <v>867.736238</v>
      </c>
      <c r="D31" s="11">
        <f>IFERROR(INDEX(rngData,MATCH($B31,rngYear,0),MATCH(OFFSET(D31,-$A31,0),rngColumnNames,0)),"")</f>
        <v>770.08748</v>
      </c>
      <c r="E31" s="11">
        <f>IFERROR(INDEX(rngData,MATCH($B31,rngYear,0),MATCH(OFFSET(E31,-$A31,0),rngColumnNames,0)),"")</f>
        <v>752.285316</v>
      </c>
      <c r="F31" s="11">
        <f>IFERROR(INDEX(rngData,MATCH($B31,rngYear,0),MATCH(OFFSET(F31,-$A31,0),rngColumnNames,0)),"")</f>
        <v>788.584347</v>
      </c>
      <c r="G31" s="11">
        <f t="shared" si="0"/>
        <v>36.299031000000014</v>
      </c>
    </row>
    <row r="32">
      <c r="A32" s="9">
        <f t="shared" si="1"/>
        <v>26</v>
      </c>
      <c r="B32" s="10">
        <f>IF(INDEX(rngYear,A32+1)&lt;&gt;0,INDEX(rngYear,A32+1),"")</f>
        <v>2005</v>
      </c>
      <c r="C32" s="11">
        <f>IFERROR(INDEX(rngData,MATCH($B32,rngYear,0),MATCH(OFFSET(C32,-$A32,0),rngColumnNames,0)),"")</f>
        <v>926.957526</v>
      </c>
      <c r="D32" s="11">
        <f>IFERROR(INDEX(rngData,MATCH($B32,rngYear,0),MATCH(OFFSET(D32,-$A32,0),rngColumnNames,0)),"")</f>
        <v>812.321377</v>
      </c>
      <c r="E32" s="11">
        <f>IFERROR(INDEX(rngData,MATCH($B32,rngYear,0),MATCH(OFFSET(E32,-$A32,0),rngColumnNames,0)),"")</f>
        <v>793.10194</v>
      </c>
      <c r="F32" s="11">
        <f>IFERROR(INDEX(rngData,MATCH($B32,rngYear,0),MATCH(OFFSET(F32,-$A32,0),rngColumnNames,0)),"")</f>
        <v>830.741016</v>
      </c>
      <c r="G32" s="11">
        <f t="shared" si="0"/>
        <v>37.639075999999932</v>
      </c>
    </row>
    <row r="33">
      <c r="A33" s="9">
        <f t="shared" si="1"/>
        <v>27</v>
      </c>
      <c r="B33" s="10">
        <f>IF(INDEX(rngYear,A33+1)&lt;&gt;0,INDEX(rngYear,A33+1),"")</f>
        <v>2006</v>
      </c>
      <c r="C33" s="11">
        <f>IFERROR(INDEX(rngData,MATCH($B33,rngYear,0),MATCH(OFFSET(C33,-$A33,0),rngColumnNames,0)),"")</f>
        <v>999.432594</v>
      </c>
      <c r="D33" s="11">
        <f>IFERROR(INDEX(rngData,MATCH($B33,rngYear,0),MATCH(OFFSET(D33,-$A33,0),rngColumnNames,0)),"")</f>
        <v>858.656236</v>
      </c>
      <c r="E33" s="11">
        <f>IFERROR(INDEX(rngData,MATCH($B33,rngYear,0),MATCH(OFFSET(E33,-$A33,0),rngColumnNames,0)),"")</f>
        <v>840.45355</v>
      </c>
      <c r="F33" s="11">
        <f>IFERROR(INDEX(rngData,MATCH($B33,rngYear,0),MATCH(OFFSET(F33,-$A33,0),rngColumnNames,0)),"")</f>
        <v>876.976072</v>
      </c>
      <c r="G33" s="11">
        <f t="shared" si="0"/>
        <v>36.522522000000095</v>
      </c>
    </row>
    <row r="34">
      <c r="A34" s="9">
        <f t="shared" si="1"/>
        <v>28</v>
      </c>
      <c r="B34" s="10">
        <f>IF(INDEX(rngYear,A34+1)&lt;&gt;0,INDEX(rngYear,A34+1),"")</f>
        <v>2007</v>
      </c>
      <c r="C34" s="11">
        <f>IFERROR(INDEX(rngData,MATCH($B34,rngYear,0),MATCH(OFFSET(C34,-$A34,0),rngColumnNames,0)),"")</f>
        <v>944.459154</v>
      </c>
      <c r="D34" s="11">
        <f>IFERROR(INDEX(rngData,MATCH($B34,rngYear,0),MATCH(OFFSET(D34,-$A34,0),rngColumnNames,0)),"")</f>
        <v>906.092181</v>
      </c>
      <c r="E34" s="11">
        <f>IFERROR(INDEX(rngData,MATCH($B34,rngYear,0),MATCH(OFFSET(E34,-$A34,0),rngColumnNames,0)),"")</f>
        <v>889.239902</v>
      </c>
      <c r="F34" s="11">
        <f>IFERROR(INDEX(rngData,MATCH($B34,rngYear,0),MATCH(OFFSET(F34,-$A34,0),rngColumnNames,0)),"")</f>
        <v>925.203873</v>
      </c>
      <c r="G34" s="11">
        <f t="shared" si="0"/>
        <v>35.963971000000015</v>
      </c>
    </row>
    <row r="35">
      <c r="A35" s="9">
        <f t="shared" si="1"/>
        <v>29</v>
      </c>
      <c r="B35" s="10">
        <f>IF(INDEX(rngYear,A35+1)&lt;&gt;0,INDEX(rngYear,A35+1),"")</f>
        <v>2008</v>
      </c>
      <c r="C35" s="11">
        <f>IFERROR(INDEX(rngData,MATCH($B35,rngYear,0),MATCH(OFFSET(C35,-$A35,0),rngColumnNames,0)),"")</f>
        <v>822.847336</v>
      </c>
      <c r="D35" s="11">
        <f>IFERROR(INDEX(rngData,MATCH($B35,rngYear,0),MATCH(OFFSET(D35,-$A35,0),rngColumnNames,0)),"")</f>
        <v>951.454941</v>
      </c>
      <c r="E35" s="11">
        <f>IFERROR(INDEX(rngData,MATCH($B35,rngYear,0),MATCH(OFFSET(E35,-$A35,0),rngColumnNames,0)),"")</f>
        <v>934.602386</v>
      </c>
      <c r="F35" s="11">
        <f>IFERROR(INDEX(rngData,MATCH($B35,rngYear,0),MATCH(OFFSET(F35,-$A35,0),rngColumnNames,0)),"")</f>
        <v>972.517991</v>
      </c>
      <c r="G35" s="11">
        <f t="shared" si="0"/>
        <v>37.915605000000028</v>
      </c>
    </row>
    <row r="36">
      <c r="A36" s="9">
        <f t="shared" si="1"/>
        <v>30</v>
      </c>
      <c r="B36" s="10">
        <f>IF(INDEX(rngYear,A36+1)&lt;&gt;0,INDEX(rngYear,A36+1),"")</f>
        <v>2009</v>
      </c>
      <c r="C36" s="11">
        <f>IFERROR(INDEX(rngData,MATCH($B36,rngYear,0),MATCH(OFFSET(C36,-$A36,0),rngColumnNames,0)),"")</f>
        <v>957.599427</v>
      </c>
      <c r="D36" s="11">
        <f>IFERROR(INDEX(rngData,MATCH($B36,rngYear,0),MATCH(OFFSET(D36,-$A36,0),rngColumnNames,0)),"")</f>
        <v>991.547006</v>
      </c>
      <c r="E36" s="11">
        <f>IFERROR(INDEX(rngData,MATCH($B36,rngYear,0),MATCH(OFFSET(E36,-$A36,0),rngColumnNames,0)),"")</f>
        <v>973.585646</v>
      </c>
      <c r="F36" s="11">
        <f>IFERROR(INDEX(rngData,MATCH($B36,rngYear,0),MATCH(OFFSET(F36,-$A36,0),rngColumnNames,0)),"")</f>
        <v>1014.129049</v>
      </c>
      <c r="G36" s="11">
        <f t="shared" si="0"/>
        <v>40.543403000000012</v>
      </c>
    </row>
    <row r="37">
      <c r="A37" s="9">
        <f t="shared" si="1"/>
        <v>31</v>
      </c>
      <c r="B37" s="10">
        <f>IF(INDEX(rngYear,A37+1)&lt;&gt;0,INDEX(rngYear,A37+1),"")</f>
        <v>2010</v>
      </c>
      <c r="C37" s="11">
        <f>IFERROR(INDEX(rngData,MATCH($B37,rngYear,0),MATCH(OFFSET(C37,-$A37,0),rngColumnNames,0)),"")</f>
        <v>916.004782</v>
      </c>
      <c r="D37" s="11">
        <f>IFERROR(INDEX(rngData,MATCH($B37,rngYear,0),MATCH(OFFSET(D37,-$A37,0),rngColumnNames,0)),"")</f>
        <v>1023.520197</v>
      </c>
      <c r="E37" s="11">
        <f>IFERROR(INDEX(rngData,MATCH($B37,rngYear,0),MATCH(OFFSET(E37,-$A37,0),rngColumnNames,0)),"")</f>
        <v>1003.702587</v>
      </c>
      <c r="F37" s="11">
        <f>IFERROR(INDEX(rngData,MATCH($B37,rngYear,0),MATCH(OFFSET(F37,-$A37,0),rngColumnNames,0)),"")</f>
        <v>1047.111479</v>
      </c>
      <c r="G37" s="11">
        <f t="shared" si="0"/>
        <v>43.408891999999923</v>
      </c>
    </row>
    <row r="38">
      <c r="A38" s="9">
        <f t="shared" si="1"/>
        <v>32</v>
      </c>
      <c r="B38" s="10">
        <f>IF(INDEX(rngYear,A38+1)&lt;&gt;0,INDEX(rngYear,A38+1),"")</f>
        <v>2011</v>
      </c>
      <c r="C38" s="11">
        <f>IFERROR(INDEX(rngData,MATCH($B38,rngYear,0),MATCH(OFFSET(C38,-$A38,0),rngColumnNames,0)),"")</f>
        <v>956.131572</v>
      </c>
      <c r="D38" s="11">
        <f>IFERROR(INDEX(rngData,MATCH($B38,rngYear,0),MATCH(OFFSET(D38,-$A38,0),rngColumnNames,0)),"")</f>
        <v>1045.369283</v>
      </c>
      <c r="E38" s="11">
        <f>IFERROR(INDEX(rngData,MATCH($B38,rngYear,0),MATCH(OFFSET(E38,-$A38,0),rngColumnNames,0)),"")</f>
        <v>1024.940784</v>
      </c>
      <c r="F38" s="11">
        <f>IFERROR(INDEX(rngData,MATCH($B38,rngYear,0),MATCH(OFFSET(F38,-$A38,0),rngColumnNames,0)),"")</f>
        <v>1069.410949</v>
      </c>
      <c r="G38" s="11">
        <f t="shared" si="0"/>
        <v>44.470165000000179</v>
      </c>
    </row>
    <row r="39">
      <c r="A39" s="9">
        <f t="shared" si="1"/>
        <v>33</v>
      </c>
      <c r="B39" s="10">
        <f>IF(INDEX(rngYear,A39+1)&lt;&gt;0,INDEX(rngYear,A39+1),"")</f>
        <v>2012</v>
      </c>
      <c r="C39" s="11">
        <f>IFERROR(INDEX(rngData,MATCH($B39,rngYear,0),MATCH(OFFSET(C39,-$A39,0),rngColumnNames,0)),"")</f>
        <v>1103.424929</v>
      </c>
      <c r="D39" s="11">
        <f>IFERROR(INDEX(rngData,MATCH($B39,rngYear,0),MATCH(OFFSET(D39,-$A39,0),rngColumnNames,0)),"")</f>
        <v>1039.452619</v>
      </c>
      <c r="E39" s="11">
        <f>IFERROR(INDEX(rngData,MATCH($B39,rngYear,0),MATCH(OFFSET(E39,-$A39,0),rngColumnNames,0)),"")</f>
        <v>1021.559674</v>
      </c>
      <c r="F39" s="11">
        <f>IFERROR(INDEX(rngData,MATCH($B39,rngYear,0),MATCH(OFFSET(F39,-$A39,0),rngColumnNames,0)),"")</f>
        <v>1060.201634</v>
      </c>
      <c r="G39" s="11">
        <f ref="G39:G66" t="shared" si="2">IFERROR(F39-E39,"")</f>
        <v>38.64196000000004</v>
      </c>
    </row>
    <row r="40" hidden="1">
      <c r="A40" s="9">
        <f ref="A40:A66" t="shared" si="3">A39+1</f>
        <v>34</v>
      </c>
      <c r="B40" s="10">
        <f>IF(INDEX(rngYear,A40+1)&lt;&gt;0,INDEX(rngYear,A40+1),"")</f>
        <v>2013</v>
      </c>
      <c r="C40" s="11">
        <f>IFERROR(INDEX(rngData,MATCH($B40,rngYear,0),MATCH(OFFSET(C40,-$A40,0),rngColumnNames,0)),"")</f>
        <v>965.926449</v>
      </c>
      <c r="D40" s="11">
        <f>IFERROR(INDEX(rngData,MATCH($B40,rngYear,0),MATCH(OFFSET(D40,-$A40,0),rngColumnNames,0)),"")</f>
        <v>1009.413479</v>
      </c>
      <c r="E40" s="11">
        <f>IFERROR(INDEX(rngData,MATCH($B40,rngYear,0),MATCH(OFFSET(E40,-$A40,0),rngColumnNames,0)),"")</f>
        <v>993.518039</v>
      </c>
      <c r="F40" s="11">
        <f>IFERROR(INDEX(rngData,MATCH($B40,rngYear,0),MATCH(OFFSET(F40,-$A40,0),rngColumnNames,0)),"")</f>
        <v>1028.0827</v>
      </c>
      <c r="G40" s="11">
        <f t="shared" si="2"/>
        <v>34.564660999999887</v>
      </c>
    </row>
    <row r="41" hidden="1">
      <c r="A41" s="9">
        <f t="shared" si="3"/>
        <v>35</v>
      </c>
      <c r="B41" s="10">
        <f>IF(INDEX(rngYear,A41+1)&lt;&gt;0,INDEX(rngYear,A41+1),"")</f>
        <v>2014</v>
      </c>
      <c r="C41" s="11">
        <f>IFERROR(INDEX(rngData,MATCH($B41,rngYear,0),MATCH(OFFSET(C41,-$A41,0),rngColumnNames,0)),"")</f>
        <v>884.833893</v>
      </c>
      <c r="D41" s="11">
        <f>IFERROR(INDEX(rngData,MATCH($B41,rngYear,0),MATCH(OFFSET(D41,-$A41,0),rngColumnNames,0)),"")</f>
        <v>974.673018</v>
      </c>
      <c r="E41" s="11">
        <f>IFERROR(INDEX(rngData,MATCH($B41,rngYear,0),MATCH(OFFSET(E41,-$A41,0),rngColumnNames,0)),"")</f>
        <v>956.796351</v>
      </c>
      <c r="F41" s="11">
        <f>IFERROR(INDEX(rngData,MATCH($B41,rngYear,0),MATCH(OFFSET(F41,-$A41,0),rngColumnNames,0)),"")</f>
        <v>992.577002</v>
      </c>
      <c r="G41" s="11">
        <f t="shared" si="2"/>
        <v>35.780651000000034</v>
      </c>
    </row>
    <row r="42" hidden="1">
      <c r="A42" s="9">
        <f t="shared" si="3"/>
        <v>36</v>
      </c>
      <c r="B42" s="10">
        <f>IF(INDEX(rngYear,A42+1)&lt;&gt;0,INDEX(rngYear,A42+1),"")</f>
        <v>2015</v>
      </c>
      <c r="C42" s="11">
        <f>IFERROR(INDEX(rngData,MATCH($B42,rngYear,0),MATCH(OFFSET(C42,-$A42,0),rngColumnNames,0)),"")</f>
        <v>858.169913</v>
      </c>
      <c r="D42" s="11">
        <f>IFERROR(INDEX(rngData,MATCH($B42,rngYear,0),MATCH(OFFSET(D42,-$A42,0),rngColumnNames,0)),"")</f>
        <v>934.703996</v>
      </c>
      <c r="E42" s="11">
        <f>IFERROR(INDEX(rngData,MATCH($B42,rngYear,0),MATCH(OFFSET(E42,-$A42,0),rngColumnNames,0)),"")</f>
        <v>914.729096</v>
      </c>
      <c r="F42" s="11">
        <f>IFERROR(INDEX(rngData,MATCH($B42,rngYear,0),MATCH(OFFSET(F42,-$A42,0),rngColumnNames,0)),"")</f>
        <v>950.894114</v>
      </c>
      <c r="G42" s="11">
        <f t="shared" si="2"/>
        <v>36.165017999999918</v>
      </c>
    </row>
    <row r="43" hidden="1">
      <c r="A43" s="9">
        <f t="shared" si="3"/>
        <v>37</v>
      </c>
      <c r="B43" s="10">
        <f>IF(INDEX(rngYear,A43+1)&lt;&gt;0,INDEX(rngYear,A43+1),"")</f>
        <v>2016</v>
      </c>
      <c r="C43" s="11">
        <f>IFERROR(INDEX(rngData,MATCH($B43,rngYear,0),MATCH(OFFSET(C43,-$A43,0),rngColumnNames,0)),"")</f>
        <v>893.981137</v>
      </c>
      <c r="D43" s="11">
        <f>IFERROR(INDEX(rngData,MATCH($B43,rngYear,0),MATCH(OFFSET(D43,-$A43,0),rngColumnNames,0)),"")</f>
        <v>888.41127</v>
      </c>
      <c r="E43" s="11">
        <f>IFERROR(INDEX(rngData,MATCH($B43,rngYear,0),MATCH(OFFSET(E43,-$A43,0),rngColumnNames,0)),"")</f>
        <v>866.230979</v>
      </c>
      <c r="F43" s="11">
        <f>IFERROR(INDEX(rngData,MATCH($B43,rngYear,0),MATCH(OFFSET(F43,-$A43,0),rngColumnNames,0)),"")</f>
        <v>906.136362</v>
      </c>
      <c r="G43" s="11">
        <f t="shared" si="2"/>
        <v>39.905382999999915</v>
      </c>
    </row>
    <row r="44" hidden="1">
      <c r="A44" s="9">
        <f t="shared" si="3"/>
        <v>38</v>
      </c>
      <c r="B44" s="10">
        <f>IF(INDEX(rngYear,A44+1)&lt;&gt;0,INDEX(rngYear,A44+1),"")</f>
        <v>2017</v>
      </c>
      <c r="C44" s="11">
        <f>IFERROR(INDEX(rngData,MATCH($B44,rngYear,0),MATCH(OFFSET(C44,-$A44,0),rngColumnNames,0)),"")</f>
        <v>836</v>
      </c>
      <c r="D44" s="11">
        <f>IFERROR(INDEX(rngData,MATCH($B44,rngYear,0),MATCH(OFFSET(D44,-$A44,0),rngColumnNames,0)),"")</f>
        <v>835.083695</v>
      </c>
      <c r="E44" s="11">
        <f>IFERROR(INDEX(rngData,MATCH($B44,rngYear,0),MATCH(OFFSET(E44,-$A44,0),rngColumnNames,0)),"")</f>
        <v>810.193284</v>
      </c>
      <c r="F44" s="11">
        <f>IFERROR(INDEX(rngData,MATCH($B44,rngYear,0),MATCH(OFFSET(F44,-$A44,0),rngColumnNames,0)),"")</f>
        <v>854.493153</v>
      </c>
      <c r="G44" s="11">
        <f t="shared" si="2"/>
        <v>44.299869000000058</v>
      </c>
    </row>
    <row r="45" hidden="1">
      <c r="A45" s="9">
        <f t="shared" si="3"/>
        <v>39</v>
      </c>
      <c r="B45" s="10">
        <f>IF(INDEX(rngYear,A45+1)&lt;&gt;0,INDEX(rngYear,A45+1),"")</f>
        <v>2018</v>
      </c>
      <c r="C45" s="11">
        <f>IFERROR(INDEX(rngData,MATCH($B45,rngYear,0),MATCH(OFFSET(C45,-$A45,0),rngColumnNames,0)),"")</f>
        <v>735</v>
      </c>
      <c r="D45" s="11">
        <f>IFERROR(INDEX(rngData,MATCH($B45,rngYear,0),MATCH(OFFSET(D45,-$A45,0),rngColumnNames,0)),"")</f>
        <v>774.556051</v>
      </c>
      <c r="E45" s="11">
        <f>IFERROR(INDEX(rngData,MATCH($B45,rngYear,0),MATCH(OFFSET(E45,-$A45,0),rngColumnNames,0)),"")</f>
        <v>749.076283</v>
      </c>
      <c r="F45" s="11">
        <f>IFERROR(INDEX(rngData,MATCH($B45,rngYear,0),MATCH(OFFSET(F45,-$A45,0),rngColumnNames,0)),"")</f>
        <v>795.558694</v>
      </c>
      <c r="G45" s="11">
        <f t="shared" si="2"/>
        <v>46.482410999999956</v>
      </c>
    </row>
    <row r="46" hidden="1">
      <c r="A46" s="9">
        <f t="shared" si="3"/>
        <v>40</v>
      </c>
      <c r="B46" s="10">
        <f>IF(INDEX(rngYear,A46+1)&lt;&gt;0,INDEX(rngYear,A46+1),"")</f>
        <v>2019</v>
      </c>
      <c r="C46" s="11">
        <f>IFERROR(INDEX(rngData,MATCH($B46,rngYear,0),MATCH(OFFSET(C46,-$A46,0),rngColumnNames,0)),"")</f>
        <v>801</v>
      </c>
      <c r="D46" s="11">
        <f>IFERROR(INDEX(rngData,MATCH($B46,rngYear,0),MATCH(OFFSET(D46,-$A46,0),rngColumnNames,0)),"")</f>
        <v>707.11813</v>
      </c>
      <c r="E46" s="11">
        <f>IFERROR(INDEX(rngData,MATCH($B46,rngYear,0),MATCH(OFFSET(E46,-$A46,0),rngColumnNames,0)),"")</f>
        <v>679.184174</v>
      </c>
      <c r="F46" s="11">
        <f>IFERROR(INDEX(rngData,MATCH($B46,rngYear,0),MATCH(OFFSET(F46,-$A46,0),rngColumnNames,0)),"")</f>
        <v>731.58161</v>
      </c>
      <c r="G46" s="11">
        <f t="shared" si="2"/>
        <v>52.397435999999971</v>
      </c>
    </row>
    <row r="47" hidden="1">
      <c r="A47" s="9">
        <f t="shared" si="3"/>
        <v>41</v>
      </c>
      <c r="B47" s="10">
        <f>IF(INDEX(rngYear,A47+1)&lt;&gt;0,INDEX(rngYear,A47+1),"")</f>
        <v>2020</v>
      </c>
      <c r="C47" s="11">
        <f>IFERROR(INDEX(rngData,MATCH($B47,rngYear,0),MATCH(OFFSET(C47,-$A47,0),rngColumnNames,0)),"")</f>
        <v>574</v>
      </c>
      <c r="D47" s="11">
        <f>IFERROR(INDEX(rngData,MATCH($B47,rngYear,0),MATCH(OFFSET(D47,-$A47,0),rngColumnNames,0)),"")</f>
        <v>556.467866</v>
      </c>
      <c r="E47" s="11">
        <f>IFERROR(INDEX(rngData,MATCH($B47,rngYear,0),MATCH(OFFSET(E47,-$A47,0),rngColumnNames,0)),"")</f>
        <v>525.74518</v>
      </c>
      <c r="F47" s="11">
        <f>IFERROR(INDEX(rngData,MATCH($B47,rngYear,0),MATCH(OFFSET(F47,-$A47,0),rngColumnNames,0)),"")</f>
        <v>588.335668</v>
      </c>
      <c r="G47" s="11">
        <f t="shared" si="2"/>
        <v>62.59048800000005</v>
      </c>
    </row>
    <row r="48" hidden="1">
      <c r="A48" s="9">
        <f t="shared" si="3"/>
        <v>42</v>
      </c>
      <c r="B48" s="10">
        <f>IF(INDEX(rngYear,A48+1)&lt;&gt;0,INDEX(rngYear,A48+1),"")</f>
        <v>2021</v>
      </c>
      <c r="C48" s="11">
        <f>IFERROR(INDEX(rngData,MATCH($B48,rngYear,0),MATCH(OFFSET(C48,-$A48,0),rngColumnNames,0)),"")</f>
        <v>512</v>
      </c>
      <c r="D48" s="11">
        <f>IFERROR(INDEX(rngData,MATCH($B48,rngYear,0),MATCH(OFFSET(D48,-$A48,0),rngColumnNames,0)),"")</f>
        <v>487.594321</v>
      </c>
      <c r="E48" s="11">
        <f>IFERROR(INDEX(rngData,MATCH($B48,rngYear,0),MATCH(OFFSET(E48,-$A48,0),rngColumnNames,0)),"")</f>
        <v>455.646803</v>
      </c>
      <c r="F48" s="11">
        <f>IFERROR(INDEX(rngData,MATCH($B48,rngYear,0),MATCH(OFFSET(F48,-$A48,0),rngColumnNames,0)),"")</f>
        <v>519.290678</v>
      </c>
      <c r="G48" s="11">
        <f t="shared" si="2"/>
        <v>63.64387499999998</v>
      </c>
    </row>
    <row r="49" hidden="1">
      <c r="A49" s="9">
        <f t="shared" si="3"/>
        <v>43</v>
      </c>
      <c r="B49" s="10">
        <f>IF(INDEX(rngYear,A49+1)&lt;&gt;0,INDEX(rngYear,A49+1),"")</f>
        <v>2022</v>
      </c>
      <c r="C49" s="11">
        <f>IFERROR(INDEX(rngData,MATCH($B49,rngYear,0),MATCH(OFFSET(C49,-$A49,0),rngColumnNames,0)),"")</f>
        <v>515</v>
      </c>
      <c r="D49" s="11">
        <f>IFERROR(INDEX(rngData,MATCH($B49,rngYear,0),MATCH(OFFSET(D49,-$A49,0),rngColumnNames,0)),"")</f>
        <v>519.072799</v>
      </c>
      <c r="E49" s="11">
        <f>IFERROR(INDEX(rngData,MATCH($B49,rngYear,0),MATCH(OFFSET(E49,-$A49,0),rngColumnNames,0)),"")</f>
        <v>481.120517</v>
      </c>
      <c r="F49" s="11">
        <f>IFERROR(INDEX(rngData,MATCH($B49,rngYear,0),MATCH(OFFSET(F49,-$A49,0),rngColumnNames,0)),"")</f>
        <v>560.796513</v>
      </c>
      <c r="G49" s="11">
        <f t="shared" si="2"/>
        <v>79.675996</v>
      </c>
    </row>
    <row r="50" hidden="1">
      <c r="A50" s="9">
        <f t="shared" si="3"/>
        <v>44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>IFERROR(INDEX(rngData,MATCH($B50,rngYear,0),MATCH(OFFSET(F50,-$A50,0),rngColumnNames,0)),"")</f>
      </c>
      <c r="G50" s="11">
        <f t="shared" si="2"/>
      </c>
    </row>
    <row r="51" hidden="1">
      <c r="A51" s="9">
        <f t="shared" si="3"/>
        <v>45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>IFERROR(INDEX(rngData,MATCH($B51,rngYear,0),MATCH(OFFSET(F51,-$A51,0),rngColumnNames,0)),"")</f>
      </c>
      <c r="G51" s="11">
        <f t="shared" si="2"/>
      </c>
    </row>
    <row r="52" hidden="1">
      <c r="A52" s="9">
        <f t="shared" si="3"/>
        <v>46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>IFERROR(INDEX(rngData,MATCH($B52,rngYear,0),MATCH(OFFSET(F52,-$A52,0),rngColumnNames,0)),"")</f>
      </c>
      <c r="G52" s="11">
        <f t="shared" si="2"/>
      </c>
    </row>
    <row r="53" hidden="1">
      <c r="A53" s="9">
        <f t="shared" si="3"/>
        <v>47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>IFERROR(INDEX(rngData,MATCH($B53,rngYear,0),MATCH(OFFSET(F53,-$A53,0),rngColumnNames,0)),"")</f>
      </c>
      <c r="G53" s="11">
        <f t="shared" si="2"/>
      </c>
    </row>
    <row r="54" hidden="1">
      <c r="A54" s="9">
        <f t="shared" si="3"/>
        <v>48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>IFERROR(INDEX(rngData,MATCH($B54,rngYear,0),MATCH(OFFSET(F54,-$A54,0),rngColumnNames,0)),"")</f>
      </c>
      <c r="G54" s="11">
        <f t="shared" si="2"/>
      </c>
    </row>
    <row r="55" hidden="1">
      <c r="A55" s="9">
        <f t="shared" si="3"/>
        <v>49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>IFERROR(INDEX(rngData,MATCH($B55,rngYear,0),MATCH(OFFSET(F55,-$A55,0),rngColumnNames,0)),"")</f>
      </c>
      <c r="G55" s="11">
        <f t="shared" si="2"/>
      </c>
    </row>
    <row r="56" hidden="1">
      <c r="A56" s="9">
        <f t="shared" si="3"/>
        <v>50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>IFERROR(INDEX(rngData,MATCH($B56,rngYear,0),MATCH(OFFSET(F56,-$A56,0),rngColumnNames,0)),"")</f>
      </c>
      <c r="G56" s="11">
        <f t="shared" si="2"/>
      </c>
    </row>
    <row r="57" hidden="1">
      <c r="A57" s="9">
        <f t="shared" si="3"/>
        <v>51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>IFERROR(INDEX(rngData,MATCH($B57,rngYear,0),MATCH(OFFSET(F57,-$A57,0),rngColumnNames,0)),"")</f>
      </c>
      <c r="G57" s="11">
        <f t="shared" si="2"/>
      </c>
    </row>
    <row r="58" hidden="1">
      <c r="A58" s="9">
        <f t="shared" si="3"/>
        <v>52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>IFERROR(INDEX(rngData,MATCH($B58,rngYear,0),MATCH(OFFSET(F58,-$A58,0),rngColumnNames,0)),"")</f>
      </c>
      <c r="G58" s="11">
        <f t="shared" si="2"/>
      </c>
    </row>
    <row r="59" hidden="1">
      <c r="A59" s="9">
        <f t="shared" si="3"/>
        <v>53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>IFERROR(INDEX(rngData,MATCH($B59,rngYear,0),MATCH(OFFSET(F59,-$A59,0),rngColumnNames,0)),"")</f>
      </c>
      <c r="G59" s="11">
        <f t="shared" si="2"/>
      </c>
    </row>
    <row r="60" hidden="1">
      <c r="A60" s="9">
        <f t="shared" si="3"/>
        <v>54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>IFERROR(INDEX(rngData,MATCH($B60,rngYear,0),MATCH(OFFSET(F60,-$A60,0),rngColumnNames,0)),"")</f>
      </c>
      <c r="G60" s="11">
        <f t="shared" si="2"/>
      </c>
    </row>
    <row r="61" hidden="1">
      <c r="A61" s="9">
        <f t="shared" si="3"/>
        <v>55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>IFERROR(INDEX(rngData,MATCH($B61,rngYear,0),MATCH(OFFSET(F61,-$A61,0),rngColumnNames,0)),"")</f>
      </c>
      <c r="G61" s="11">
        <f t="shared" si="2"/>
      </c>
    </row>
    <row r="62" hidden="1">
      <c r="A62" s="9">
        <f t="shared" si="3"/>
        <v>56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>IFERROR(INDEX(rngData,MATCH($B62,rngYear,0),MATCH(OFFSET(F62,-$A62,0),rngColumnNames,0)),"")</f>
      </c>
      <c r="G62" s="11">
        <f t="shared" si="2"/>
      </c>
    </row>
    <row r="63" hidden="1">
      <c r="A63" s="9">
        <f t="shared" si="3"/>
        <v>57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>IFERROR(INDEX(rngData,MATCH($B63,rngYear,0),MATCH(OFFSET(F63,-$A63,0),rngColumnNames,0)),"")</f>
      </c>
      <c r="G63" s="11">
        <f t="shared" si="2"/>
      </c>
    </row>
    <row r="64" hidden="1">
      <c r="A64" s="9">
        <f t="shared" si="3"/>
        <v>58</v>
      </c>
      <c r="B64" s="10">
        <f>IF(INDEX(rngYear,A64+1)&lt;&gt;0,INDEX(rngYear,A64+1),"")</f>
      </c>
      <c r="C64" s="11">
        <f>IFERROR(INDEX(rngData,MATCH($B64,rngYear,0),MATCH(OFFSET(C64,-$A64,0),rngColumnNames,0)),"")</f>
      </c>
      <c r="D64" s="11">
        <f>IFERROR(INDEX(rngData,MATCH($B64,rngYear,0),MATCH(OFFSET(D64,-$A64,0),rngColumnNames,0)),"")</f>
      </c>
      <c r="E64" s="11">
        <f>IFERROR(INDEX(rngData,MATCH($B64,rngYear,0),MATCH(OFFSET(E64,-$A64,0),rngColumnNames,0)),"")</f>
      </c>
      <c r="F64" s="11">
        <f>IFERROR(INDEX(rngData,MATCH($B64,rngYear,0),MATCH(OFFSET(F64,-$A64,0),rngColumnNames,0)),"")</f>
      </c>
      <c r="G64" s="11">
        <f t="shared" si="2"/>
      </c>
    </row>
    <row r="65" hidden="1">
      <c r="A65" s="9">
        <f t="shared" si="3"/>
        <v>59</v>
      </c>
      <c r="B65" s="10">
        <f>IF(INDEX(rngYear,A65+1)&lt;&gt;0,INDEX(rngYear,A65+1),"")</f>
      </c>
      <c r="C65" s="11">
        <f>IFERROR(INDEX(rngData,MATCH($B65,rngYear,0),MATCH(OFFSET(C65,-$A65,0),rngColumnNames,0)),"")</f>
      </c>
      <c r="D65" s="11">
        <f>IFERROR(INDEX(rngData,MATCH($B65,rngYear,0),MATCH(OFFSET(D65,-$A65,0),rngColumnNames,0)),"")</f>
      </c>
      <c r="E65" s="11">
        <f>IFERROR(INDEX(rngData,MATCH($B65,rngYear,0),MATCH(OFFSET(E65,-$A65,0),rngColumnNames,0)),"")</f>
      </c>
      <c r="F65" s="11">
        <f>IFERROR(INDEX(rngData,MATCH($B65,rngYear,0),MATCH(OFFSET(F65,-$A65,0),rngColumnNames,0)),"")</f>
      </c>
      <c r="G65" s="11">
        <f t="shared" si="2"/>
      </c>
    </row>
    <row r="66" hidden="1">
      <c r="A66" s="9">
        <f t="shared" si="3"/>
        <v>60</v>
      </c>
      <c r="B66" s="10">
        <f>IF(INDEX(rngYear,A66+1)&lt;&gt;0,INDEX(rngYear,A66+1),"")</f>
      </c>
      <c r="C66" s="11">
        <f>IFERROR(INDEX(rngData,MATCH($B66,rngYear,0),MATCH(OFFSET(C66,-$A66,0),rngColumnNames,0)),"")</f>
      </c>
      <c r="D66" s="11">
        <f>IFERROR(INDEX(rngData,MATCH($B66,rngYear,0),MATCH(OFFSET(D66,-$A66,0),rngColumnNames,0)),"")</f>
      </c>
      <c r="E66" s="11">
        <f>IFERROR(INDEX(rngData,MATCH($B66,rngYear,0),MATCH(OFFSET(E66,-$A66,0),rngColumnNames,0)),"")</f>
      </c>
      <c r="F66" s="11">
        <f>IFERROR(INDEX(rngData,MATCH($B66,rngYear,0),MATCH(OFFSET(F66,-$A66,0),rngColumnNames,0)),"")</f>
      </c>
      <c r="G66" s="11">
        <f t="shared" si="2"/>
      </c>
    </row>
    <row r="68" ht="19.5" customHeight="1">
      <c r="A68" s="16" t="s">
        <v>10</v>
      </c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</row>
    <row r="69" ht="15" customHeight="1">
      <c r="B69" s="4"/>
      <c r="C69" s="5" t="s">
        <v>1</v>
      </c>
      <c r="D69" s="5" t="s">
        <v>2</v>
      </c>
      <c r="E69" s="17" t="s">
        <v>3</v>
      </c>
      <c r="F69" s="18"/>
      <c r="G69" s="19"/>
    </row>
    <row r="70" ht="22.5" customHeight="1">
      <c r="A70" s="6" t="s">
        <v>4</v>
      </c>
      <c r="B70" s="7" t="s">
        <v>5</v>
      </c>
      <c r="C70" s="7" t="s">
        <v>11</v>
      </c>
      <c r="D70" s="7" t="s">
        <v>12</v>
      </c>
      <c r="E70" s="7" t="s">
        <v>13</v>
      </c>
      <c r="F70" s="7" t="s">
        <v>14</v>
      </c>
      <c r="G70" s="8" t="s">
        <v>3</v>
      </c>
    </row>
    <row r="71">
      <c r="A71" s="9">
        <v>1</v>
      </c>
      <c r="B71" s="10">
        <f>IF(INDEX(rngYear,A71+1)&lt;&gt;0,INDEX(rngYear,A71+1),"")</f>
        <v>1980</v>
      </c>
      <c r="C71" s="11">
        <f>IFERROR(INDEX(rngData,MATCH($B71,rngYear,0),MATCH(OFFSET(C71,-$A71,0),rngColumnNames,0)),"")</f>
        <v>0</v>
      </c>
      <c r="D71" s="11">
        <f>IFERROR(INDEX(rngData,MATCH($B71,rngYear,0),MATCH(OFFSET(D71,-$A71,0),rngColumnNames,0)),"")</f>
        <v>0</v>
      </c>
      <c r="E71" s="11">
        <f>IFERROR(INDEX(rngData,MATCH($B71,rngYear,0),MATCH(OFFSET(E71,-$A71,0),rngColumnNames,0)),"")</f>
        <v>0</v>
      </c>
      <c r="F71" s="11">
        <f>IFERROR(INDEX(rngData,MATCH($B71,rngYear,0),MATCH(OFFSET(F71,-$A71,0),rngColumnNames,0)),"")</f>
        <v>0</v>
      </c>
      <c r="G71" s="11">
        <f ref="G71:G102" t="shared" si="4">IFERROR(F71-E71,"")</f>
        <v>0</v>
      </c>
    </row>
    <row r="72">
      <c r="A72" s="9">
        <f ref="A72:A103" t="shared" si="5">A71+1</f>
        <v>2</v>
      </c>
      <c r="B72" s="10">
        <f>IF(INDEX(rngYear,A72+1)&lt;&gt;0,INDEX(rngYear,A72+1),"")</f>
        <v>1981</v>
      </c>
      <c r="C72" s="11">
        <f>IFERROR(INDEX(rngData,MATCH($B72,rngYear,0),MATCH(OFFSET(C72,-$A72,0),rngColumnNames,0)),"")</f>
        <v>0</v>
      </c>
      <c r="D72" s="11">
        <f>IFERROR(INDEX(rngData,MATCH($B72,rngYear,0),MATCH(OFFSET(D72,-$A72,0),rngColumnNames,0)),"")</f>
        <v>0</v>
      </c>
      <c r="E72" s="11">
        <f>IFERROR(INDEX(rngData,MATCH($B72,rngYear,0),MATCH(OFFSET(E72,-$A72,0),rngColumnNames,0)),"")</f>
        <v>0</v>
      </c>
      <c r="F72" s="11">
        <f>IFERROR(INDEX(rngData,MATCH($B72,rngYear,0),MATCH(OFFSET(F72,-$A72,0),rngColumnNames,0)),"")</f>
        <v>0</v>
      </c>
      <c r="G72" s="11">
        <f t="shared" si="4"/>
        <v>0</v>
      </c>
    </row>
    <row r="73">
      <c r="A73" s="9">
        <f t="shared" si="5"/>
        <v>3</v>
      </c>
      <c r="B73" s="10">
        <f>IF(INDEX(rngYear,A73+1)&lt;&gt;0,INDEX(rngYear,A73+1),"")</f>
        <v>1982</v>
      </c>
      <c r="C73" s="11">
        <f>IFERROR(INDEX(rngData,MATCH($B73,rngYear,0),MATCH(OFFSET(C73,-$A73,0),rngColumnNames,0)),"")</f>
        <v>0</v>
      </c>
      <c r="D73" s="11">
        <f>IFERROR(INDEX(rngData,MATCH($B73,rngYear,0),MATCH(OFFSET(D73,-$A73,0),rngColumnNames,0)),"")</f>
        <v>0</v>
      </c>
      <c r="E73" s="11">
        <f>IFERROR(INDEX(rngData,MATCH($B73,rngYear,0),MATCH(OFFSET(E73,-$A73,0),rngColumnNames,0)),"")</f>
        <v>0</v>
      </c>
      <c r="F73" s="11">
        <f>IFERROR(INDEX(rngData,MATCH($B73,rngYear,0),MATCH(OFFSET(F73,-$A73,0),rngColumnNames,0)),"")</f>
        <v>0</v>
      </c>
      <c r="G73" s="11">
        <f t="shared" si="4"/>
        <v>0</v>
      </c>
    </row>
    <row r="74">
      <c r="A74" s="9">
        <f t="shared" si="5"/>
        <v>4</v>
      </c>
      <c r="B74" s="10">
        <f>IF(INDEX(rngYear,A74+1)&lt;&gt;0,INDEX(rngYear,A74+1),"")</f>
        <v>1983</v>
      </c>
      <c r="C74" s="11">
        <f>IFERROR(INDEX(rngData,MATCH($B74,rngYear,0),MATCH(OFFSET(C74,-$A74,0),rngColumnNames,0)),"")</f>
        <v>0</v>
      </c>
      <c r="D74" s="11">
        <f>IFERROR(INDEX(rngData,MATCH($B74,rngYear,0),MATCH(OFFSET(D74,-$A74,0),rngColumnNames,0)),"")</f>
        <v>0</v>
      </c>
      <c r="E74" s="11">
        <f>IFERROR(INDEX(rngData,MATCH($B74,rngYear,0),MATCH(OFFSET(E74,-$A74,0),rngColumnNames,0)),"")</f>
        <v>0</v>
      </c>
      <c r="F74" s="11">
        <f>IFERROR(INDEX(rngData,MATCH($B74,rngYear,0),MATCH(OFFSET(F74,-$A74,0),rngColumnNames,0)),"")</f>
        <v>0</v>
      </c>
      <c r="G74" s="11">
        <f t="shared" si="4"/>
        <v>0</v>
      </c>
    </row>
    <row r="75">
      <c r="A75" s="9">
        <f t="shared" si="5"/>
        <v>5</v>
      </c>
      <c r="B75" s="10">
        <f>IF(INDEX(rngYear,A75+1)&lt;&gt;0,INDEX(rngYear,A75+1),"")</f>
        <v>1984</v>
      </c>
      <c r="C75" s="11">
        <f>IFERROR(INDEX(rngData,MATCH($B75,rngYear,0),MATCH(OFFSET(C75,-$A75,0),rngColumnNames,0)),"")</f>
        <v>10</v>
      </c>
      <c r="D75" s="11">
        <f>IFERROR(INDEX(rngData,MATCH($B75,rngYear,0),MATCH(OFFSET(D75,-$A75,0),rngColumnNames,0)),"")</f>
        <v>38.36781</v>
      </c>
      <c r="E75" s="11">
        <f>IFERROR(INDEX(rngData,MATCH($B75,rngYear,0),MATCH(OFFSET(E75,-$A75,0),rngColumnNames,0)),"")</f>
        <v>26.948552</v>
      </c>
      <c r="F75" s="11">
        <f>IFERROR(INDEX(rngData,MATCH($B75,rngYear,0),MATCH(OFFSET(F75,-$A75,0),rngColumnNames,0)),"")</f>
        <v>47.489737</v>
      </c>
      <c r="G75" s="11">
        <f t="shared" si="4"/>
        <v>20.541185</v>
      </c>
    </row>
    <row r="76">
      <c r="A76" s="9">
        <f t="shared" si="5"/>
        <v>6</v>
      </c>
      <c r="B76" s="10">
        <f>IF(INDEX(rngYear,A76+1)&lt;&gt;0,INDEX(rngYear,A76+1),"")</f>
        <v>1985</v>
      </c>
      <c r="C76" s="11">
        <f>IFERROR(INDEX(rngData,MATCH($B76,rngYear,0),MATCH(OFFSET(C76,-$A76,0),rngColumnNames,0)),"")</f>
        <v>30</v>
      </c>
      <c r="D76" s="11">
        <f>IFERROR(INDEX(rngData,MATCH($B76,rngYear,0),MATCH(OFFSET(D76,-$A76,0),rngColumnNames,0)),"")</f>
        <v>27.346663</v>
      </c>
      <c r="E76" s="11">
        <f>IFERROR(INDEX(rngData,MATCH($B76,rngYear,0),MATCH(OFFSET(E76,-$A76,0),rngColumnNames,0)),"")</f>
        <v>18.822289</v>
      </c>
      <c r="F76" s="11">
        <f>IFERROR(INDEX(rngData,MATCH($B76,rngYear,0),MATCH(OFFSET(F76,-$A76,0),rngColumnNames,0)),"")</f>
        <v>33.227188</v>
      </c>
      <c r="G76" s="11">
        <f t="shared" si="4"/>
        <v>14.404898999999997</v>
      </c>
    </row>
    <row r="77">
      <c r="A77" s="9">
        <f t="shared" si="5"/>
        <v>7</v>
      </c>
      <c r="B77" s="10">
        <f>IF(INDEX(rngYear,A77+1)&lt;&gt;0,INDEX(rngYear,A77+1),"")</f>
        <v>1986</v>
      </c>
      <c r="C77" s="11">
        <f>IFERROR(INDEX(rngData,MATCH($B77,rngYear,0),MATCH(OFFSET(C77,-$A77,0),rngColumnNames,0)),"")</f>
        <v>30</v>
      </c>
      <c r="D77" s="11">
        <f>IFERROR(INDEX(rngData,MATCH($B77,rngYear,0),MATCH(OFFSET(D77,-$A77,0),rngColumnNames,0)),"")</f>
        <v>22.798432</v>
      </c>
      <c r="E77" s="11">
        <f>IFERROR(INDEX(rngData,MATCH($B77,rngYear,0),MATCH(OFFSET(E77,-$A77,0),rngColumnNames,0)),"")</f>
        <v>15.341465</v>
      </c>
      <c r="F77" s="11">
        <f>IFERROR(INDEX(rngData,MATCH($B77,rngYear,0),MATCH(OFFSET(F77,-$A77,0),rngColumnNames,0)),"")</f>
        <v>28.42686</v>
      </c>
      <c r="G77" s="11">
        <f t="shared" si="4"/>
        <v>13.085395000000002</v>
      </c>
    </row>
    <row r="78">
      <c r="A78" s="9">
        <f t="shared" si="5"/>
        <v>8</v>
      </c>
      <c r="B78" s="10">
        <f>IF(INDEX(rngYear,A78+1)&lt;&gt;0,INDEX(rngYear,A78+1),"")</f>
        <v>1987</v>
      </c>
      <c r="C78" s="11">
        <f>IFERROR(INDEX(rngData,MATCH($B78,rngYear,0),MATCH(OFFSET(C78,-$A78,0),rngColumnNames,0)),"")</f>
        <v>20</v>
      </c>
      <c r="D78" s="11">
        <f>IFERROR(INDEX(rngData,MATCH($B78,rngYear,0),MATCH(OFFSET(D78,-$A78,0),rngColumnNames,0)),"")</f>
        <v>20.841514</v>
      </c>
      <c r="E78" s="11">
        <f>IFERROR(INDEX(rngData,MATCH($B78,rngYear,0),MATCH(OFFSET(E78,-$A78,0),rngColumnNames,0)),"")</f>
        <v>15.17243</v>
      </c>
      <c r="F78" s="11">
        <f>IFERROR(INDEX(rngData,MATCH($B78,rngYear,0),MATCH(OFFSET(F78,-$A78,0),rngColumnNames,0)),"")</f>
        <v>27.054434</v>
      </c>
      <c r="G78" s="11">
        <f t="shared" si="4"/>
        <v>11.882004</v>
      </c>
    </row>
    <row r="79">
      <c r="A79" s="9">
        <f t="shared" si="5"/>
        <v>9</v>
      </c>
      <c r="B79" s="10">
        <f>IF(INDEX(rngYear,A79+1)&lt;&gt;0,INDEX(rngYear,A79+1),"")</f>
        <v>1988</v>
      </c>
      <c r="C79" s="11">
        <f>IFERROR(INDEX(rngData,MATCH($B79,rngYear,0),MATCH(OFFSET(C79,-$A79,0),rngColumnNames,0)),"")</f>
        <v>24</v>
      </c>
      <c r="D79" s="11">
        <f>IFERROR(INDEX(rngData,MATCH($B79,rngYear,0),MATCH(OFFSET(D79,-$A79,0),rngColumnNames,0)),"")</f>
        <v>33.103579</v>
      </c>
      <c r="E79" s="11">
        <f>IFERROR(INDEX(rngData,MATCH($B79,rngYear,0),MATCH(OFFSET(E79,-$A79,0),rngColumnNames,0)),"")</f>
        <v>25.238035</v>
      </c>
      <c r="F79" s="11">
        <f>IFERROR(INDEX(rngData,MATCH($B79,rngYear,0),MATCH(OFFSET(F79,-$A79,0),rngColumnNames,0)),"")</f>
        <v>40.172577</v>
      </c>
      <c r="G79" s="11">
        <f t="shared" si="4"/>
        <v>14.934541999999997</v>
      </c>
    </row>
    <row r="80">
      <c r="A80" s="9">
        <f t="shared" si="5"/>
        <v>10</v>
      </c>
      <c r="B80" s="10">
        <f>IF(INDEX(rngYear,A80+1)&lt;&gt;0,INDEX(rngYear,A80+1),"")</f>
        <v>1989</v>
      </c>
      <c r="C80" s="11">
        <f>IFERROR(INDEX(rngData,MATCH($B80,rngYear,0),MATCH(OFFSET(C80,-$A80,0),rngColumnNames,0)),"")</f>
        <v>30</v>
      </c>
      <c r="D80" s="11">
        <f>IFERROR(INDEX(rngData,MATCH($B80,rngYear,0),MATCH(OFFSET(D80,-$A80,0),rngColumnNames,0)),"")</f>
        <v>42.884851</v>
      </c>
      <c r="E80" s="11">
        <f>IFERROR(INDEX(rngData,MATCH($B80,rngYear,0),MATCH(OFFSET(E80,-$A80,0),rngColumnNames,0)),"")</f>
        <v>34.790415</v>
      </c>
      <c r="F80" s="11">
        <f>IFERROR(INDEX(rngData,MATCH($B80,rngYear,0),MATCH(OFFSET(F80,-$A80,0),rngColumnNames,0)),"")</f>
        <v>51.020218</v>
      </c>
      <c r="G80" s="11">
        <f t="shared" si="4"/>
        <v>16.229802999999997</v>
      </c>
    </row>
    <row r="81">
      <c r="A81" s="9">
        <f t="shared" si="5"/>
        <v>11</v>
      </c>
      <c r="B81" s="10">
        <f>IF(INDEX(rngYear,A81+1)&lt;&gt;0,INDEX(rngYear,A81+1),"")</f>
        <v>1990</v>
      </c>
      <c r="C81" s="11">
        <f>IFERROR(INDEX(rngData,MATCH($B81,rngYear,0),MATCH(OFFSET(C81,-$A81,0),rngColumnNames,0)),"")</f>
        <v>30</v>
      </c>
      <c r="D81" s="11">
        <f>IFERROR(INDEX(rngData,MATCH($B81,rngYear,0),MATCH(OFFSET(D81,-$A81,0),rngColumnNames,0)),"")</f>
        <v>42.894047</v>
      </c>
      <c r="E81" s="11">
        <f>IFERROR(INDEX(rngData,MATCH($B81,rngYear,0),MATCH(OFFSET(E81,-$A81,0),rngColumnNames,0)),"")</f>
        <v>33.660965</v>
      </c>
      <c r="F81" s="11">
        <f>IFERROR(INDEX(rngData,MATCH($B81,rngYear,0),MATCH(OFFSET(F81,-$A81,0),rngColumnNames,0)),"")</f>
        <v>51.946787</v>
      </c>
      <c r="G81" s="11">
        <f t="shared" si="4"/>
        <v>18.285822000000003</v>
      </c>
    </row>
    <row r="82">
      <c r="A82" s="9">
        <f t="shared" si="5"/>
        <v>12</v>
      </c>
      <c r="B82" s="10">
        <f>IF(INDEX(rngYear,A82+1)&lt;&gt;0,INDEX(rngYear,A82+1),"")</f>
        <v>1991</v>
      </c>
      <c r="C82" s="11">
        <f>IFERROR(INDEX(rngData,MATCH($B82,rngYear,0),MATCH(OFFSET(C82,-$A82,0),rngColumnNames,0)),"")</f>
        <v>21</v>
      </c>
      <c r="D82" s="11">
        <f>IFERROR(INDEX(rngData,MATCH($B82,rngYear,0),MATCH(OFFSET(D82,-$A82,0),rngColumnNames,0)),"")</f>
        <v>40.046227</v>
      </c>
      <c r="E82" s="11">
        <f>IFERROR(INDEX(rngData,MATCH($B82,rngYear,0),MATCH(OFFSET(E82,-$A82,0),rngColumnNames,0)),"")</f>
        <v>32.346251</v>
      </c>
      <c r="F82" s="11">
        <f>IFERROR(INDEX(rngData,MATCH($B82,rngYear,0),MATCH(OFFSET(F82,-$A82,0),rngColumnNames,0)),"")</f>
        <v>48.520479</v>
      </c>
      <c r="G82" s="11">
        <f t="shared" si="4"/>
        <v>16.174228</v>
      </c>
    </row>
    <row r="83">
      <c r="A83" s="9">
        <f t="shared" si="5"/>
        <v>13</v>
      </c>
      <c r="B83" s="10">
        <f>IF(INDEX(rngYear,A83+1)&lt;&gt;0,INDEX(rngYear,A83+1),"")</f>
        <v>1992</v>
      </c>
      <c r="C83" s="11">
        <f>IFERROR(INDEX(rngData,MATCH($B83,rngYear,0),MATCH(OFFSET(C83,-$A83,0),rngColumnNames,0)),"")</f>
        <v>81</v>
      </c>
      <c r="D83" s="11">
        <f>IFERROR(INDEX(rngData,MATCH($B83,rngYear,0),MATCH(OFFSET(D83,-$A83,0),rngColumnNames,0)),"")</f>
        <v>109.749797</v>
      </c>
      <c r="E83" s="11">
        <f>IFERROR(INDEX(rngData,MATCH($B83,rngYear,0),MATCH(OFFSET(E83,-$A83,0),rngColumnNames,0)),"")</f>
        <v>93.087928</v>
      </c>
      <c r="F83" s="11">
        <f>IFERROR(INDEX(rngData,MATCH($B83,rngYear,0),MATCH(OFFSET(F83,-$A83,0),rngColumnNames,0)),"")</f>
        <v>122.723274</v>
      </c>
      <c r="G83" s="11">
        <f t="shared" si="4"/>
        <v>29.635346</v>
      </c>
    </row>
    <row r="84">
      <c r="A84" s="9">
        <f t="shared" si="5"/>
        <v>14</v>
      </c>
      <c r="B84" s="10">
        <f>IF(INDEX(rngYear,A84+1)&lt;&gt;0,INDEX(rngYear,A84+1),"")</f>
        <v>1993</v>
      </c>
      <c r="C84" s="11">
        <f>IFERROR(INDEX(rngData,MATCH($B84,rngYear,0),MATCH(OFFSET(C84,-$A84,0),rngColumnNames,0)),"")</f>
        <v>142</v>
      </c>
      <c r="D84" s="11">
        <f>IFERROR(INDEX(rngData,MATCH($B84,rngYear,0),MATCH(OFFSET(D84,-$A84,0),rngColumnNames,0)),"")</f>
        <v>169.521586</v>
      </c>
      <c r="E84" s="11">
        <f>IFERROR(INDEX(rngData,MATCH($B84,rngYear,0),MATCH(OFFSET(E84,-$A84,0),rngColumnNames,0)),"")</f>
        <v>153.146094</v>
      </c>
      <c r="F84" s="11">
        <f>IFERROR(INDEX(rngData,MATCH($B84,rngYear,0),MATCH(OFFSET(F84,-$A84,0),rngColumnNames,0)),"")</f>
        <v>182.432939</v>
      </c>
      <c r="G84" s="11">
        <f t="shared" si="4"/>
        <v>29.286845</v>
      </c>
    </row>
    <row r="85">
      <c r="A85" s="9">
        <f t="shared" si="5"/>
        <v>15</v>
      </c>
      <c r="B85" s="10">
        <f>IF(INDEX(rngYear,A85+1)&lt;&gt;0,INDEX(rngYear,A85+1),"")</f>
        <v>1994</v>
      </c>
      <c r="C85" s="11">
        <f>IFERROR(INDEX(rngData,MATCH($B85,rngYear,0),MATCH(OFFSET(C85,-$A85,0),rngColumnNames,0)),"")</f>
        <v>230</v>
      </c>
      <c r="D85" s="11">
        <f>IFERROR(INDEX(rngData,MATCH($B85,rngYear,0),MATCH(OFFSET(D85,-$A85,0),rngColumnNames,0)),"")</f>
        <v>278.073607</v>
      </c>
      <c r="E85" s="11">
        <f>IFERROR(INDEX(rngData,MATCH($B85,rngYear,0),MATCH(OFFSET(E85,-$A85,0),rngColumnNames,0)),"")</f>
        <v>262.828676</v>
      </c>
      <c r="F85" s="11">
        <f>IFERROR(INDEX(rngData,MATCH($B85,rngYear,0),MATCH(OFFSET(F85,-$A85,0),rngColumnNames,0)),"")</f>
        <v>293.192926</v>
      </c>
      <c r="G85" s="11">
        <f t="shared" si="4"/>
        <v>30.364250000000027</v>
      </c>
    </row>
    <row r="86">
      <c r="A86" s="9">
        <f t="shared" si="5"/>
        <v>16</v>
      </c>
      <c r="B86" s="10">
        <f>IF(INDEX(rngYear,A86+1)&lt;&gt;0,INDEX(rngYear,A86+1),"")</f>
        <v>1995</v>
      </c>
      <c r="C86" s="11">
        <f>IFERROR(INDEX(rngData,MATCH($B86,rngYear,0),MATCH(OFFSET(C86,-$A86,0),rngColumnNames,0)),"")</f>
        <v>192</v>
      </c>
      <c r="D86" s="11">
        <f>IFERROR(INDEX(rngData,MATCH($B86,rngYear,0),MATCH(OFFSET(D86,-$A86,0),rngColumnNames,0)),"")</f>
        <v>195.855383</v>
      </c>
      <c r="E86" s="11">
        <f>IFERROR(INDEX(rngData,MATCH($B86,rngYear,0),MATCH(OFFSET(E86,-$A86,0),rngColumnNames,0)),"")</f>
        <v>182.956103</v>
      </c>
      <c r="F86" s="11">
        <f>IFERROR(INDEX(rngData,MATCH($B86,rngYear,0),MATCH(OFFSET(F86,-$A86,0),rngColumnNames,0)),"")</f>
        <v>211.229689</v>
      </c>
      <c r="G86" s="11">
        <f t="shared" si="4"/>
        <v>28.273585999999995</v>
      </c>
    </row>
    <row r="87">
      <c r="A87" s="9">
        <f t="shared" si="5"/>
        <v>17</v>
      </c>
      <c r="B87" s="10">
        <f>IF(INDEX(rngYear,A87+1)&lt;&gt;0,INDEX(rngYear,A87+1),"")</f>
        <v>1996</v>
      </c>
      <c r="C87" s="11">
        <f>IFERROR(INDEX(rngData,MATCH($B87,rngYear,0),MATCH(OFFSET(C87,-$A87,0),rngColumnNames,0)),"")</f>
        <v>231</v>
      </c>
      <c r="D87" s="11">
        <f>IFERROR(INDEX(rngData,MATCH($B87,rngYear,0),MATCH(OFFSET(D87,-$A87,0),rngColumnNames,0)),"")</f>
        <v>223.328976</v>
      </c>
      <c r="E87" s="11">
        <f>IFERROR(INDEX(rngData,MATCH($B87,rngYear,0),MATCH(OFFSET(E87,-$A87,0),rngColumnNames,0)),"")</f>
        <v>211.675892</v>
      </c>
      <c r="F87" s="11">
        <f>IFERROR(INDEX(rngData,MATCH($B87,rngYear,0),MATCH(OFFSET(F87,-$A87,0),rngColumnNames,0)),"")</f>
        <v>239.608479</v>
      </c>
      <c r="G87" s="11">
        <f t="shared" si="4"/>
        <v>27.932586999999984</v>
      </c>
    </row>
    <row r="88">
      <c r="A88" s="9">
        <f t="shared" si="5"/>
        <v>18</v>
      </c>
      <c r="B88" s="10">
        <f>IF(INDEX(rngYear,A88+1)&lt;&gt;0,INDEX(rngYear,A88+1),"")</f>
        <v>1997</v>
      </c>
      <c r="C88" s="11">
        <f>IFERROR(INDEX(rngData,MATCH($B88,rngYear,0),MATCH(OFFSET(C88,-$A88,0),rngColumnNames,0)),"")</f>
        <v>196</v>
      </c>
      <c r="D88" s="11">
        <f>IFERROR(INDEX(rngData,MATCH($B88,rngYear,0),MATCH(OFFSET(D88,-$A88,0),rngColumnNames,0)),"")</f>
        <v>237.22066</v>
      </c>
      <c r="E88" s="11">
        <f>IFERROR(INDEX(rngData,MATCH($B88,rngYear,0),MATCH(OFFSET(E88,-$A88,0),rngColumnNames,0)),"")</f>
        <v>225.73903</v>
      </c>
      <c r="F88" s="11">
        <f>IFERROR(INDEX(rngData,MATCH($B88,rngYear,0),MATCH(OFFSET(F88,-$A88,0),rngColumnNames,0)),"")</f>
        <v>249.286133</v>
      </c>
      <c r="G88" s="11">
        <f t="shared" si="4"/>
        <v>23.547102999999993</v>
      </c>
    </row>
    <row r="89">
      <c r="A89" s="9">
        <f t="shared" si="5"/>
        <v>19</v>
      </c>
      <c r="B89" s="10">
        <f>IF(INDEX(rngYear,A89+1)&lt;&gt;0,INDEX(rngYear,A89+1),"")</f>
        <v>1998</v>
      </c>
      <c r="C89" s="11">
        <f>IFERROR(INDEX(rngData,MATCH($B89,rngYear,0),MATCH(OFFSET(C89,-$A89,0),rngColumnNames,0)),"")</f>
        <v>176</v>
      </c>
      <c r="D89" s="11">
        <f>IFERROR(INDEX(rngData,MATCH($B89,rngYear,0),MATCH(OFFSET(D89,-$A89,0),rngColumnNames,0)),"")</f>
        <v>220.796973</v>
      </c>
      <c r="E89" s="11">
        <f>IFERROR(INDEX(rngData,MATCH($B89,rngYear,0),MATCH(OFFSET(E89,-$A89,0),rngColumnNames,0)),"")</f>
        <v>207.652363</v>
      </c>
      <c r="F89" s="11">
        <f>IFERROR(INDEX(rngData,MATCH($B89,rngYear,0),MATCH(OFFSET(F89,-$A89,0),rngColumnNames,0)),"")</f>
        <v>235.737444</v>
      </c>
      <c r="G89" s="11">
        <f t="shared" si="4"/>
        <v>28.085081000000002</v>
      </c>
    </row>
    <row r="90">
      <c r="A90" s="9">
        <f t="shared" si="5"/>
        <v>20</v>
      </c>
      <c r="B90" s="10">
        <f>IF(INDEX(rngYear,A90+1)&lt;&gt;0,INDEX(rngYear,A90+1),"")</f>
        <v>1999</v>
      </c>
      <c r="C90" s="11">
        <f>IFERROR(INDEX(rngData,MATCH($B90,rngYear,0),MATCH(OFFSET(C90,-$A90,0),rngColumnNames,0)),"")</f>
        <v>188</v>
      </c>
      <c r="D90" s="11">
        <f>IFERROR(INDEX(rngData,MATCH($B90,rngYear,0),MATCH(OFFSET(D90,-$A90,0),rngColumnNames,0)),"")</f>
        <v>189.291867</v>
      </c>
      <c r="E90" s="11">
        <f>IFERROR(INDEX(rngData,MATCH($B90,rngYear,0),MATCH(OFFSET(E90,-$A90,0),rngColumnNames,0)),"")</f>
        <v>177.164611</v>
      </c>
      <c r="F90" s="11">
        <f>IFERROR(INDEX(rngData,MATCH($B90,rngYear,0),MATCH(OFFSET(F90,-$A90,0),rngColumnNames,0)),"")</f>
        <v>201.272797</v>
      </c>
      <c r="G90" s="11">
        <f t="shared" si="4"/>
        <v>24.108185999999989</v>
      </c>
    </row>
    <row r="91">
      <c r="A91" s="9">
        <f t="shared" si="5"/>
        <v>21</v>
      </c>
      <c r="B91" s="10">
        <f>IF(INDEX(rngYear,A91+1)&lt;&gt;0,INDEX(rngYear,A91+1),"")</f>
        <v>2000</v>
      </c>
      <c r="C91" s="11">
        <f>IFERROR(INDEX(rngData,MATCH($B91,rngYear,0),MATCH(OFFSET(C91,-$A91,0),rngColumnNames,0)),"")</f>
        <v>238</v>
      </c>
      <c r="D91" s="11">
        <f>IFERROR(INDEX(rngData,MATCH($B91,rngYear,0),MATCH(OFFSET(D91,-$A91,0),rngColumnNames,0)),"")</f>
        <v>241.762599</v>
      </c>
      <c r="E91" s="11">
        <f>IFERROR(INDEX(rngData,MATCH($B91,rngYear,0),MATCH(OFFSET(E91,-$A91,0),rngColumnNames,0)),"")</f>
        <v>228.135116</v>
      </c>
      <c r="F91" s="11">
        <f>IFERROR(INDEX(rngData,MATCH($B91,rngYear,0),MATCH(OFFSET(F91,-$A91,0),rngColumnNames,0)),"")</f>
        <v>254.119296</v>
      </c>
      <c r="G91" s="11">
        <f t="shared" si="4"/>
        <v>25.984179999999981</v>
      </c>
    </row>
    <row r="92">
      <c r="A92" s="9">
        <f t="shared" si="5"/>
        <v>22</v>
      </c>
      <c r="B92" s="10">
        <f>IF(INDEX(rngYear,A92+1)&lt;&gt;0,INDEX(rngYear,A92+1),"")</f>
        <v>2001</v>
      </c>
      <c r="C92" s="11">
        <f>IFERROR(INDEX(rngData,MATCH($B92,rngYear,0),MATCH(OFFSET(C92,-$A92,0),rngColumnNames,0)),"")</f>
        <v>236</v>
      </c>
      <c r="D92" s="11">
        <f>IFERROR(INDEX(rngData,MATCH($B92,rngYear,0),MATCH(OFFSET(D92,-$A92,0),rngColumnNames,0)),"")</f>
        <v>225.991975</v>
      </c>
      <c r="E92" s="11">
        <f>IFERROR(INDEX(rngData,MATCH($B92,rngYear,0),MATCH(OFFSET(E92,-$A92,0),rngColumnNames,0)),"")</f>
        <v>212.532629</v>
      </c>
      <c r="F92" s="11">
        <f>IFERROR(INDEX(rngData,MATCH($B92,rngYear,0),MATCH(OFFSET(F92,-$A92,0),rngColumnNames,0)),"")</f>
        <v>239.269374</v>
      </c>
      <c r="G92" s="11">
        <f t="shared" si="4"/>
        <v>26.736745000000013</v>
      </c>
    </row>
    <row r="93">
      <c r="A93" s="9">
        <f t="shared" si="5"/>
        <v>23</v>
      </c>
      <c r="B93" s="10">
        <f>IF(INDEX(rngYear,A93+1)&lt;&gt;0,INDEX(rngYear,A93+1),"")</f>
        <v>2002</v>
      </c>
      <c r="C93" s="11">
        <f>IFERROR(INDEX(rngData,MATCH($B93,rngYear,0),MATCH(OFFSET(C93,-$A93,0),rngColumnNames,0)),"")</f>
        <v>274</v>
      </c>
      <c r="D93" s="11">
        <f>IFERROR(INDEX(rngData,MATCH($B93,rngYear,0),MATCH(OFFSET(D93,-$A93,0),rngColumnNames,0)),"")</f>
        <v>224.478124</v>
      </c>
      <c r="E93" s="11">
        <f>IFERROR(INDEX(rngData,MATCH($B93,rngYear,0),MATCH(OFFSET(E93,-$A93,0),rngColumnNames,0)),"")</f>
        <v>212.034176</v>
      </c>
      <c r="F93" s="11">
        <f>IFERROR(INDEX(rngData,MATCH($B93,rngYear,0),MATCH(OFFSET(F93,-$A93,0),rngColumnNames,0)),"")</f>
        <v>235.976561</v>
      </c>
      <c r="G93" s="11">
        <f t="shared" si="4"/>
        <v>23.942385</v>
      </c>
    </row>
    <row r="94">
      <c r="A94" s="9">
        <f t="shared" si="5"/>
        <v>24</v>
      </c>
      <c r="B94" s="10">
        <f>IF(INDEX(rngYear,A94+1)&lt;&gt;0,INDEX(rngYear,A94+1),"")</f>
        <v>2003</v>
      </c>
      <c r="C94" s="11">
        <f>IFERROR(INDEX(rngData,MATCH($B94,rngYear,0),MATCH(OFFSET(C94,-$A94,0),rngColumnNames,0)),"")</f>
        <v>270</v>
      </c>
      <c r="D94" s="11">
        <f>IFERROR(INDEX(rngData,MATCH($B94,rngYear,0),MATCH(OFFSET(D94,-$A94,0),rngColumnNames,0)),"")</f>
        <v>240.257584</v>
      </c>
      <c r="E94" s="11">
        <f>IFERROR(INDEX(rngData,MATCH($B94,rngYear,0),MATCH(OFFSET(E94,-$A94,0),rngColumnNames,0)),"")</f>
        <v>224.177729</v>
      </c>
      <c r="F94" s="11">
        <f>IFERROR(INDEX(rngData,MATCH($B94,rngYear,0),MATCH(OFFSET(F94,-$A94,0),rngColumnNames,0)),"")</f>
        <v>253.134196</v>
      </c>
      <c r="G94" s="11">
        <f t="shared" si="4"/>
        <v>28.956467000000004</v>
      </c>
    </row>
    <row r="95">
      <c r="A95" s="9">
        <f t="shared" si="5"/>
        <v>25</v>
      </c>
      <c r="B95" s="10">
        <f>IF(INDEX(rngYear,A95+1)&lt;&gt;0,INDEX(rngYear,A95+1),"")</f>
        <v>2004</v>
      </c>
      <c r="C95" s="11">
        <f>IFERROR(INDEX(rngData,MATCH($B95,rngYear,0),MATCH(OFFSET(C95,-$A95,0),rngColumnNames,0)),"")</f>
        <v>309</v>
      </c>
      <c r="D95" s="11">
        <f>IFERROR(INDEX(rngData,MATCH($B95,rngYear,0),MATCH(OFFSET(D95,-$A95,0),rngColumnNames,0)),"")</f>
        <v>260.672857</v>
      </c>
      <c r="E95" s="11">
        <f>IFERROR(INDEX(rngData,MATCH($B95,rngYear,0),MATCH(OFFSET(E95,-$A95,0),rngColumnNames,0)),"")</f>
        <v>247.108978</v>
      </c>
      <c r="F95" s="11">
        <f>IFERROR(INDEX(rngData,MATCH($B95,rngYear,0),MATCH(OFFSET(F95,-$A95,0),rngColumnNames,0)),"")</f>
        <v>271.704229</v>
      </c>
      <c r="G95" s="11">
        <f t="shared" si="4"/>
        <v>24.59525099999999</v>
      </c>
    </row>
    <row r="96">
      <c r="A96" s="9">
        <f t="shared" si="5"/>
        <v>26</v>
      </c>
      <c r="B96" s="10">
        <f>IF(INDEX(rngYear,A96+1)&lt;&gt;0,INDEX(rngYear,A96+1),"")</f>
        <v>2005</v>
      </c>
      <c r="C96" s="11">
        <f>IFERROR(INDEX(rngData,MATCH($B96,rngYear,0),MATCH(OFFSET(C96,-$A96,0),rngColumnNames,0)),"")</f>
        <v>331</v>
      </c>
      <c r="D96" s="11">
        <f>IFERROR(INDEX(rngData,MATCH($B96,rngYear,0),MATCH(OFFSET(D96,-$A96,0),rngColumnNames,0)),"")</f>
        <v>272.501438</v>
      </c>
      <c r="E96" s="11">
        <f>IFERROR(INDEX(rngData,MATCH($B96,rngYear,0),MATCH(OFFSET(E96,-$A96,0),rngColumnNames,0)),"")</f>
        <v>259.346337</v>
      </c>
      <c r="F96" s="11">
        <f>IFERROR(INDEX(rngData,MATCH($B96,rngYear,0),MATCH(OFFSET(F96,-$A96,0),rngColumnNames,0)),"")</f>
        <v>282.91797</v>
      </c>
      <c r="G96" s="11">
        <f t="shared" si="4"/>
        <v>23.57163300000002</v>
      </c>
    </row>
    <row r="97">
      <c r="A97" s="9">
        <f t="shared" si="5"/>
        <v>27</v>
      </c>
      <c r="B97" s="10">
        <f>IF(INDEX(rngYear,A97+1)&lt;&gt;0,INDEX(rngYear,A97+1),"")</f>
        <v>2006</v>
      </c>
      <c r="C97" s="11">
        <f>IFERROR(INDEX(rngData,MATCH($B97,rngYear,0),MATCH(OFFSET(C97,-$A97,0),rngColumnNames,0)),"")</f>
        <v>304</v>
      </c>
      <c r="D97" s="11">
        <f>IFERROR(INDEX(rngData,MATCH($B97,rngYear,0),MATCH(OFFSET(D97,-$A97,0),rngColumnNames,0)),"")</f>
        <v>283.339087</v>
      </c>
      <c r="E97" s="11">
        <f>IFERROR(INDEX(rngData,MATCH($B97,rngYear,0),MATCH(OFFSET(E97,-$A97,0),rngColumnNames,0)),"")</f>
        <v>267.956063</v>
      </c>
      <c r="F97" s="11">
        <f>IFERROR(INDEX(rngData,MATCH($B97,rngYear,0),MATCH(OFFSET(F97,-$A97,0),rngColumnNames,0)),"")</f>
        <v>296.245556</v>
      </c>
      <c r="G97" s="11">
        <f t="shared" si="4"/>
        <v>28.28949300000005</v>
      </c>
    </row>
    <row r="98">
      <c r="A98" s="9">
        <f t="shared" si="5"/>
        <v>28</v>
      </c>
      <c r="B98" s="10">
        <f>IF(INDEX(rngYear,A98+1)&lt;&gt;0,INDEX(rngYear,A98+1),"")</f>
        <v>2007</v>
      </c>
      <c r="C98" s="11">
        <f>IFERROR(INDEX(rngData,MATCH($B98,rngYear,0),MATCH(OFFSET(C98,-$A98,0),rngColumnNames,0)),"")</f>
        <v>296</v>
      </c>
      <c r="D98" s="11">
        <f>IFERROR(INDEX(rngData,MATCH($B98,rngYear,0),MATCH(OFFSET(D98,-$A98,0),rngColumnNames,0)),"")</f>
        <v>289.759834</v>
      </c>
      <c r="E98" s="11">
        <f>IFERROR(INDEX(rngData,MATCH($B98,rngYear,0),MATCH(OFFSET(E98,-$A98,0),rngColumnNames,0)),"")</f>
        <v>274.738845</v>
      </c>
      <c r="F98" s="11">
        <f>IFERROR(INDEX(rngData,MATCH($B98,rngYear,0),MATCH(OFFSET(F98,-$A98,0),rngColumnNames,0)),"")</f>
        <v>304.244032</v>
      </c>
      <c r="G98" s="11">
        <f t="shared" si="4"/>
        <v>29.505186999999978</v>
      </c>
    </row>
    <row r="99">
      <c r="A99" s="9">
        <f t="shared" si="5"/>
        <v>29</v>
      </c>
      <c r="B99" s="10">
        <f>IF(INDEX(rngYear,A99+1)&lt;&gt;0,INDEX(rngYear,A99+1),"")</f>
        <v>2008</v>
      </c>
      <c r="C99" s="11">
        <f>IFERROR(INDEX(rngData,MATCH($B99,rngYear,0),MATCH(OFFSET(C99,-$A99,0),rngColumnNames,0)),"")</f>
        <v>303</v>
      </c>
      <c r="D99" s="11">
        <f>IFERROR(INDEX(rngData,MATCH($B99,rngYear,0),MATCH(OFFSET(D99,-$A99,0),rngColumnNames,0)),"")</f>
        <v>350.240653</v>
      </c>
      <c r="E99" s="11">
        <f>IFERROR(INDEX(rngData,MATCH($B99,rngYear,0),MATCH(OFFSET(E99,-$A99,0),rngColumnNames,0)),"")</f>
        <v>339.405346</v>
      </c>
      <c r="F99" s="11">
        <f>IFERROR(INDEX(rngData,MATCH($B99,rngYear,0),MATCH(OFFSET(F99,-$A99,0),rngColumnNames,0)),"")</f>
        <v>360.27225</v>
      </c>
      <c r="G99" s="11">
        <f t="shared" si="4"/>
        <v>20.866903999999977</v>
      </c>
    </row>
    <row r="100">
      <c r="A100" s="9">
        <f t="shared" si="5"/>
        <v>30</v>
      </c>
      <c r="B100" s="10">
        <f>IF(INDEX(rngYear,A100+1)&lt;&gt;0,INDEX(rngYear,A100+1),"")</f>
        <v>2009</v>
      </c>
      <c r="C100" s="11">
        <f>IFERROR(INDEX(rngData,MATCH($B100,rngYear,0),MATCH(OFFSET(C100,-$A100,0),rngColumnNames,0)),"")</f>
        <v>309</v>
      </c>
      <c r="D100" s="11">
        <f>IFERROR(INDEX(rngData,MATCH($B100,rngYear,0),MATCH(OFFSET(D100,-$A100,0),rngColumnNames,0)),"")</f>
        <v>344.526188</v>
      </c>
      <c r="E100" s="11">
        <f>IFERROR(INDEX(rngData,MATCH($B100,rngYear,0),MATCH(OFFSET(E100,-$A100,0),rngColumnNames,0)),"")</f>
        <v>331.46637</v>
      </c>
      <c r="F100" s="11">
        <f>IFERROR(INDEX(rngData,MATCH($B100,rngYear,0),MATCH(OFFSET(F100,-$A100,0),rngColumnNames,0)),"")</f>
        <v>357.378214</v>
      </c>
      <c r="G100" s="11">
        <f t="shared" si="4"/>
        <v>25.911844000000031</v>
      </c>
    </row>
    <row r="101">
      <c r="A101" s="9">
        <f t="shared" si="5"/>
        <v>31</v>
      </c>
      <c r="B101" s="10">
        <f>IF(INDEX(rngYear,A101+1)&lt;&gt;0,INDEX(rngYear,A101+1),"")</f>
        <v>2010</v>
      </c>
      <c r="C101" s="11">
        <f>IFERROR(INDEX(rngData,MATCH($B101,rngYear,0),MATCH(OFFSET(C101,-$A101,0),rngColumnNames,0)),"")</f>
        <v>310</v>
      </c>
      <c r="D101" s="11">
        <f>IFERROR(INDEX(rngData,MATCH($B101,rngYear,0),MATCH(OFFSET(D101,-$A101,0),rngColumnNames,0)),"")</f>
        <v>362.580187</v>
      </c>
      <c r="E101" s="11">
        <f>IFERROR(INDEX(rngData,MATCH($B101,rngYear,0),MATCH(OFFSET(E101,-$A101,0),rngColumnNames,0)),"")</f>
        <v>347.392604</v>
      </c>
      <c r="F101" s="11">
        <f>IFERROR(INDEX(rngData,MATCH($B101,rngYear,0),MATCH(OFFSET(F101,-$A101,0),rngColumnNames,0)),"")</f>
        <v>376.569625</v>
      </c>
      <c r="G101" s="11">
        <f t="shared" si="4"/>
        <v>29.177020999999968</v>
      </c>
    </row>
    <row r="102">
      <c r="A102" s="9">
        <f t="shared" si="5"/>
        <v>32</v>
      </c>
      <c r="B102" s="10">
        <f>IF(INDEX(rngYear,A102+1)&lt;&gt;0,INDEX(rngYear,A102+1),"")</f>
        <v>2011</v>
      </c>
      <c r="C102" s="11">
        <f>IFERROR(INDEX(rngData,MATCH($B102,rngYear,0),MATCH(OFFSET(C102,-$A102,0),rngColumnNames,0)),"")</f>
        <v>325</v>
      </c>
      <c r="D102" s="11">
        <f>IFERROR(INDEX(rngData,MATCH($B102,rngYear,0),MATCH(OFFSET(D102,-$A102,0),rngColumnNames,0)),"")</f>
        <v>343.435758</v>
      </c>
      <c r="E102" s="11">
        <f>IFERROR(INDEX(rngData,MATCH($B102,rngYear,0),MATCH(OFFSET(E102,-$A102,0),rngColumnNames,0)),"")</f>
        <v>325.898626</v>
      </c>
      <c r="F102" s="11">
        <f>IFERROR(INDEX(rngData,MATCH($B102,rngYear,0),MATCH(OFFSET(F102,-$A102,0),rngColumnNames,0)),"")</f>
        <v>361.853196</v>
      </c>
      <c r="G102" s="11">
        <f t="shared" si="4"/>
        <v>35.954570000000047</v>
      </c>
    </row>
    <row r="103">
      <c r="A103" s="9">
        <f t="shared" si="5"/>
        <v>33</v>
      </c>
      <c r="B103" s="10">
        <f>IF(INDEX(rngYear,A103+1)&lt;&gt;0,INDEX(rngYear,A103+1),"")</f>
        <v>2012</v>
      </c>
      <c r="C103" s="11">
        <f>IFERROR(INDEX(rngData,MATCH($B103,rngYear,0),MATCH(OFFSET(C103,-$A103,0),rngColumnNames,0)),"")</f>
        <v>367</v>
      </c>
      <c r="D103" s="11">
        <f>IFERROR(INDEX(rngData,MATCH($B103,rngYear,0),MATCH(OFFSET(D103,-$A103,0),rngColumnNames,0)),"")</f>
        <v>316.248314</v>
      </c>
      <c r="E103" s="11">
        <f>IFERROR(INDEX(rngData,MATCH($B103,rngYear,0),MATCH(OFFSET(E103,-$A103,0),rngColumnNames,0)),"")</f>
        <v>302.586184</v>
      </c>
      <c r="F103" s="11">
        <f>IFERROR(INDEX(rngData,MATCH($B103,rngYear,0),MATCH(OFFSET(F103,-$A103,0),rngColumnNames,0)),"")</f>
        <v>330.852731</v>
      </c>
      <c r="G103" s="11">
        <f ref="G103:G130" t="shared" si="6">IFERROR(F103-E103,"")</f>
        <v>28.266547000000003</v>
      </c>
    </row>
    <row r="104" hidden="1">
      <c r="A104" s="9">
        <f ref="A104:A130" t="shared" si="7">A103+1</f>
        <v>34</v>
      </c>
      <c r="B104" s="10">
        <f>IF(INDEX(rngYear,A104+1)&lt;&gt;0,INDEX(rngYear,A104+1),"")</f>
        <v>2013</v>
      </c>
      <c r="C104" s="11">
        <f>IFERROR(INDEX(rngData,MATCH($B104,rngYear,0),MATCH(OFFSET(C104,-$A104,0),rngColumnNames,0)),"")</f>
        <v>317</v>
      </c>
      <c r="D104" s="11">
        <f>IFERROR(INDEX(rngData,MATCH($B104,rngYear,0),MATCH(OFFSET(D104,-$A104,0),rngColumnNames,0)),"")</f>
        <v>335.151063</v>
      </c>
      <c r="E104" s="11">
        <f>IFERROR(INDEX(rngData,MATCH($B104,rngYear,0),MATCH(OFFSET(E104,-$A104,0),rngColumnNames,0)),"")</f>
        <v>323.80246</v>
      </c>
      <c r="F104" s="11">
        <f>IFERROR(INDEX(rngData,MATCH($B104,rngYear,0),MATCH(OFFSET(F104,-$A104,0),rngColumnNames,0)),"")</f>
        <v>351.071973</v>
      </c>
      <c r="G104" s="11">
        <f t="shared" si="6"/>
        <v>27.269513000000018</v>
      </c>
    </row>
    <row r="105" hidden="1">
      <c r="A105" s="9">
        <f t="shared" si="7"/>
        <v>35</v>
      </c>
      <c r="B105" s="10">
        <f>IF(INDEX(rngYear,A105+1)&lt;&gt;0,INDEX(rngYear,A105+1),"")</f>
        <v>2014</v>
      </c>
      <c r="C105" s="11">
        <f>IFERROR(INDEX(rngData,MATCH($B105,rngYear,0),MATCH(OFFSET(C105,-$A105,0),rngColumnNames,0)),"")</f>
        <v>351</v>
      </c>
      <c r="D105" s="11">
        <f>IFERROR(INDEX(rngData,MATCH($B105,rngYear,0),MATCH(OFFSET(D105,-$A105,0),rngColumnNames,0)),"")</f>
        <v>364.174757</v>
      </c>
      <c r="E105" s="11">
        <f>IFERROR(INDEX(rngData,MATCH($B105,rngYear,0),MATCH(OFFSET(E105,-$A105,0),rngColumnNames,0)),"")</f>
        <v>355.915436</v>
      </c>
      <c r="F105" s="11">
        <f>IFERROR(INDEX(rngData,MATCH($B105,rngYear,0),MATCH(OFFSET(F105,-$A105,0),rngColumnNames,0)),"")</f>
        <v>375.069708</v>
      </c>
      <c r="G105" s="11">
        <f t="shared" si="6"/>
        <v>19.154271999999992</v>
      </c>
    </row>
    <row r="106" hidden="1">
      <c r="A106" s="9">
        <f t="shared" si="7"/>
        <v>36</v>
      </c>
      <c r="B106" s="10">
        <f>IF(INDEX(rngYear,A106+1)&lt;&gt;0,INDEX(rngYear,A106+1),"")</f>
        <v>2015</v>
      </c>
      <c r="C106" s="11">
        <f>IFERROR(INDEX(rngData,MATCH($B106,rngYear,0),MATCH(OFFSET(C106,-$A106,0),rngColumnNames,0)),"")</f>
        <v>325</v>
      </c>
      <c r="D106" s="11">
        <f>IFERROR(INDEX(rngData,MATCH($B106,rngYear,0),MATCH(OFFSET(D106,-$A106,0),rngColumnNames,0)),"")</f>
        <v>320.128625</v>
      </c>
      <c r="E106" s="11">
        <f>IFERROR(INDEX(rngData,MATCH($B106,rngYear,0),MATCH(OFFSET(E106,-$A106,0),rngColumnNames,0)),"")</f>
        <v>309.6079</v>
      </c>
      <c r="F106" s="11">
        <f>IFERROR(INDEX(rngData,MATCH($B106,rngYear,0),MATCH(OFFSET(F106,-$A106,0),rngColumnNames,0)),"")</f>
        <v>331.82869</v>
      </c>
      <c r="G106" s="11">
        <f t="shared" si="6"/>
        <v>22.220790000000022</v>
      </c>
    </row>
    <row r="107" hidden="1">
      <c r="A107" s="9">
        <f t="shared" si="7"/>
        <v>37</v>
      </c>
      <c r="B107" s="10">
        <f>IF(INDEX(rngYear,A107+1)&lt;&gt;0,INDEX(rngYear,A107+1),"")</f>
        <v>2016</v>
      </c>
      <c r="C107" s="11">
        <f>IFERROR(INDEX(rngData,MATCH($B107,rngYear,0),MATCH(OFFSET(C107,-$A107,0),rngColumnNames,0)),"")</f>
        <v>271</v>
      </c>
      <c r="D107" s="11">
        <f>IFERROR(INDEX(rngData,MATCH($B107,rngYear,0),MATCH(OFFSET(D107,-$A107,0),rngColumnNames,0)),"")</f>
        <v>253.705566</v>
      </c>
      <c r="E107" s="11">
        <f>IFERROR(INDEX(rngData,MATCH($B107,rngYear,0),MATCH(OFFSET(E107,-$A107,0),rngColumnNames,0)),"")</f>
        <v>243.839092</v>
      </c>
      <c r="F107" s="11">
        <f>IFERROR(INDEX(rngData,MATCH($B107,rngYear,0),MATCH(OFFSET(F107,-$A107,0),rngColumnNames,0)),"")</f>
        <v>267.093444</v>
      </c>
      <c r="G107" s="11">
        <f t="shared" si="6"/>
        <v>23.254351999999983</v>
      </c>
    </row>
    <row r="108" hidden="1">
      <c r="A108" s="9">
        <f t="shared" si="7"/>
        <v>38</v>
      </c>
      <c r="B108" s="10">
        <f>IF(INDEX(rngYear,A108+1)&lt;&gt;0,INDEX(rngYear,A108+1),"")</f>
        <v>2017</v>
      </c>
      <c r="C108" s="11">
        <f>IFERROR(INDEX(rngData,MATCH($B108,rngYear,0),MATCH(OFFSET(C108,-$A108,0),rngColumnNames,0)),"")</f>
        <v>238</v>
      </c>
      <c r="D108" s="11">
        <f>IFERROR(INDEX(rngData,MATCH($B108,rngYear,0),MATCH(OFFSET(D108,-$A108,0),rngColumnNames,0)),"")</f>
        <v>255.890673</v>
      </c>
      <c r="E108" s="11">
        <f>IFERROR(INDEX(rngData,MATCH($B108,rngYear,0),MATCH(OFFSET(E108,-$A108,0),rngColumnNames,0)),"")</f>
        <v>245.393092</v>
      </c>
      <c r="F108" s="11">
        <f>IFERROR(INDEX(rngData,MATCH($B108,rngYear,0),MATCH(OFFSET(F108,-$A108,0),rngColumnNames,0)),"")</f>
        <v>269.162765</v>
      </c>
      <c r="G108" s="11">
        <f t="shared" si="6"/>
        <v>23.769672999999983</v>
      </c>
    </row>
    <row r="109" hidden="1">
      <c r="A109" s="9">
        <f t="shared" si="7"/>
        <v>39</v>
      </c>
      <c r="B109" s="10">
        <f>IF(INDEX(rngYear,A109+1)&lt;&gt;0,INDEX(rngYear,A109+1),"")</f>
        <v>2018</v>
      </c>
      <c r="C109" s="11">
        <f>IFERROR(INDEX(rngData,MATCH($B109,rngYear,0),MATCH(OFFSET(C109,-$A109,0),rngColumnNames,0)),"")</f>
        <v>206</v>
      </c>
      <c r="D109" s="11">
        <f>IFERROR(INDEX(rngData,MATCH($B109,rngYear,0),MATCH(OFFSET(D109,-$A109,0),rngColumnNames,0)),"")</f>
        <v>225.694314</v>
      </c>
      <c r="E109" s="11">
        <f>IFERROR(INDEX(rngData,MATCH($B109,rngYear,0),MATCH(OFFSET(E109,-$A109,0),rngColumnNames,0)),"")</f>
        <v>213.652377</v>
      </c>
      <c r="F109" s="11">
        <f>IFERROR(INDEX(rngData,MATCH($B109,rngYear,0),MATCH(OFFSET(F109,-$A109,0),rngColumnNames,0)),"")</f>
        <v>241.790958</v>
      </c>
      <c r="G109" s="11">
        <f t="shared" si="6"/>
        <v>28.138580999999988</v>
      </c>
    </row>
    <row r="110" hidden="1">
      <c r="A110" s="9">
        <f t="shared" si="7"/>
        <v>40</v>
      </c>
      <c r="B110" s="10">
        <f>IF(INDEX(rngYear,A110+1)&lt;&gt;0,INDEX(rngYear,A110+1),"")</f>
        <v>2019</v>
      </c>
      <c r="C110" s="11">
        <f>IFERROR(INDEX(rngData,MATCH($B110,rngYear,0),MATCH(OFFSET(C110,-$A110,0),rngColumnNames,0)),"")</f>
        <v>200</v>
      </c>
      <c r="D110" s="11">
        <f>IFERROR(INDEX(rngData,MATCH($B110,rngYear,0),MATCH(OFFSET(D110,-$A110,0),rngColumnNames,0)),"")</f>
        <v>180.934551</v>
      </c>
      <c r="E110" s="11">
        <f>IFERROR(INDEX(rngData,MATCH($B110,rngYear,0),MATCH(OFFSET(E110,-$A110,0),rngColumnNames,0)),"")</f>
        <v>169.365123</v>
      </c>
      <c r="F110" s="11">
        <f>IFERROR(INDEX(rngData,MATCH($B110,rngYear,0),MATCH(OFFSET(F110,-$A110,0),rngColumnNames,0)),"")</f>
        <v>198.464314</v>
      </c>
      <c r="G110" s="11">
        <f t="shared" si="6"/>
        <v>29.09919099999999</v>
      </c>
    </row>
    <row r="111" hidden="1">
      <c r="A111" s="9">
        <f t="shared" si="7"/>
        <v>41</v>
      </c>
      <c r="B111" s="10">
        <f>IF(INDEX(rngYear,A111+1)&lt;&gt;0,INDEX(rngYear,A111+1),"")</f>
        <v>2020</v>
      </c>
      <c r="C111" s="11">
        <f>IFERROR(INDEX(rngData,MATCH($B111,rngYear,0),MATCH(OFFSET(C111,-$A111,0),rngColumnNames,0)),"")</f>
        <v>145</v>
      </c>
      <c r="D111" s="11">
        <f>IFERROR(INDEX(rngData,MATCH($B111,rngYear,0),MATCH(OFFSET(D111,-$A111,0),rngColumnNames,0)),"")</f>
        <v>133.852145</v>
      </c>
      <c r="E111" s="11">
        <f>IFERROR(INDEX(rngData,MATCH($B111,rngYear,0),MATCH(OFFSET(E111,-$A111,0),rngColumnNames,0)),"")</f>
        <v>119.291913</v>
      </c>
      <c r="F111" s="11">
        <f>IFERROR(INDEX(rngData,MATCH($B111,rngYear,0),MATCH(OFFSET(F111,-$A111,0),rngColumnNames,0)),"")</f>
        <v>151.669393</v>
      </c>
      <c r="G111" s="11">
        <f t="shared" si="6"/>
        <v>32.37748000000002</v>
      </c>
    </row>
    <row r="112" hidden="1">
      <c r="A112" s="9">
        <f t="shared" si="7"/>
        <v>42</v>
      </c>
      <c r="B112" s="10">
        <f>IF(INDEX(rngYear,A112+1)&lt;&gt;0,INDEX(rngYear,A112+1),"")</f>
        <v>2021</v>
      </c>
      <c r="C112" s="11">
        <f>IFERROR(INDEX(rngData,MATCH($B112,rngYear,0),MATCH(OFFSET(C112,-$A112,0),rngColumnNames,0)),"")</f>
        <v>101</v>
      </c>
      <c r="D112" s="11">
        <f>IFERROR(INDEX(rngData,MATCH($B112,rngYear,0),MATCH(OFFSET(D112,-$A112,0),rngColumnNames,0)),"")</f>
        <v>107.989619</v>
      </c>
      <c r="E112" s="11">
        <f>IFERROR(INDEX(rngData,MATCH($B112,rngYear,0),MATCH(OFFSET(E112,-$A112,0),rngColumnNames,0)),"")</f>
        <v>89.050334</v>
      </c>
      <c r="F112" s="11">
        <f>IFERROR(INDEX(rngData,MATCH($B112,rngYear,0),MATCH(OFFSET(F112,-$A112,0),rngColumnNames,0)),"")</f>
        <v>124.391611</v>
      </c>
      <c r="G112" s="11">
        <f t="shared" si="6"/>
        <v>35.341276999999991</v>
      </c>
    </row>
    <row r="113" hidden="1">
      <c r="A113" s="9">
        <f t="shared" si="7"/>
        <v>43</v>
      </c>
      <c r="B113" s="10">
        <f>IF(INDEX(rngYear,A113+1)&lt;&gt;0,INDEX(rngYear,A113+1),"")</f>
        <v>2022</v>
      </c>
      <c r="C113" s="11">
        <f>IFERROR(INDEX(rngData,MATCH($B113,rngYear,0),MATCH(OFFSET(C113,-$A113,0),rngColumnNames,0)),"")</f>
        <v>116</v>
      </c>
      <c r="D113" s="11">
        <f>IFERROR(INDEX(rngData,MATCH($B113,rngYear,0),MATCH(OFFSET(D113,-$A113,0),rngColumnNames,0)),"")</f>
        <v>113.494921</v>
      </c>
      <c r="E113" s="11">
        <f>IFERROR(INDEX(rngData,MATCH($B113,rngYear,0),MATCH(OFFSET(E113,-$A113,0),rngColumnNames,0)),"")</f>
        <v>96.245715</v>
      </c>
      <c r="F113" s="11">
        <f>IFERROR(INDEX(rngData,MATCH($B113,rngYear,0),MATCH(OFFSET(F113,-$A113,0),rngColumnNames,0)),"")</f>
        <v>127.376461</v>
      </c>
      <c r="G113" s="11">
        <f t="shared" si="6"/>
        <v>31.130746000000002</v>
      </c>
    </row>
    <row r="114" hidden="1">
      <c r="A114" s="9">
        <f t="shared" si="7"/>
        <v>44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>IFERROR(INDEX(rngData,MATCH($B114,rngYear,0),MATCH(OFFSET(F114,-$A114,0),rngColumnNames,0)),"")</f>
      </c>
      <c r="G114" s="11">
        <f t="shared" si="6"/>
      </c>
    </row>
    <row r="115" hidden="1">
      <c r="A115" s="9">
        <f t="shared" si="7"/>
        <v>45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>IFERROR(INDEX(rngData,MATCH($B115,rngYear,0),MATCH(OFFSET(F115,-$A115,0),rngColumnNames,0)),"")</f>
      </c>
      <c r="G115" s="11">
        <f t="shared" si="6"/>
      </c>
    </row>
    <row r="116" hidden="1">
      <c r="A116" s="9">
        <f t="shared" si="7"/>
        <v>46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>IFERROR(INDEX(rngData,MATCH($B116,rngYear,0),MATCH(OFFSET(F116,-$A116,0),rngColumnNames,0)),"")</f>
      </c>
      <c r="G116" s="11">
        <f t="shared" si="6"/>
      </c>
    </row>
    <row r="117" hidden="1">
      <c r="A117" s="9">
        <f t="shared" si="7"/>
        <v>47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>IFERROR(INDEX(rngData,MATCH($B117,rngYear,0),MATCH(OFFSET(F117,-$A117,0),rngColumnNames,0)),"")</f>
      </c>
      <c r="G117" s="11">
        <f t="shared" si="6"/>
      </c>
    </row>
    <row r="118" hidden="1">
      <c r="A118" s="9">
        <f t="shared" si="7"/>
        <v>48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>IFERROR(INDEX(rngData,MATCH($B118,rngYear,0),MATCH(OFFSET(F118,-$A118,0),rngColumnNames,0)),"")</f>
      </c>
      <c r="G118" s="11">
        <f t="shared" si="6"/>
      </c>
    </row>
    <row r="119" hidden="1">
      <c r="A119" s="9">
        <f t="shared" si="7"/>
        <v>49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>IFERROR(INDEX(rngData,MATCH($B119,rngYear,0),MATCH(OFFSET(F119,-$A119,0),rngColumnNames,0)),"")</f>
      </c>
      <c r="G119" s="11">
        <f t="shared" si="6"/>
      </c>
    </row>
    <row r="120" hidden="1">
      <c r="A120" s="9">
        <f t="shared" si="7"/>
        <v>50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>IFERROR(INDEX(rngData,MATCH($B120,rngYear,0),MATCH(OFFSET(F120,-$A120,0),rngColumnNames,0)),"")</f>
      </c>
      <c r="G120" s="11">
        <f t="shared" si="6"/>
      </c>
    </row>
    <row r="121" hidden="1">
      <c r="A121" s="9">
        <f t="shared" si="7"/>
        <v>51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>IFERROR(INDEX(rngData,MATCH($B121,rngYear,0),MATCH(OFFSET(F121,-$A121,0),rngColumnNames,0)),"")</f>
      </c>
      <c r="G121" s="11">
        <f t="shared" si="6"/>
      </c>
    </row>
    <row r="122" hidden="1">
      <c r="A122" s="9">
        <f t="shared" si="7"/>
        <v>52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>IFERROR(INDEX(rngData,MATCH($B122,rngYear,0),MATCH(OFFSET(F122,-$A122,0),rngColumnNames,0)),"")</f>
      </c>
      <c r="G122" s="11">
        <f t="shared" si="6"/>
      </c>
    </row>
    <row r="123" hidden="1">
      <c r="A123" s="9">
        <f t="shared" si="7"/>
        <v>53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>IFERROR(INDEX(rngData,MATCH($B123,rngYear,0),MATCH(OFFSET(F123,-$A123,0),rngColumnNames,0)),"")</f>
      </c>
      <c r="G123" s="11">
        <f t="shared" si="6"/>
      </c>
    </row>
    <row r="124" hidden="1">
      <c r="A124" s="9">
        <f t="shared" si="7"/>
        <v>54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>IFERROR(INDEX(rngData,MATCH($B124,rngYear,0),MATCH(OFFSET(F124,-$A124,0),rngColumnNames,0)),"")</f>
      </c>
      <c r="G124" s="11">
        <f t="shared" si="6"/>
      </c>
    </row>
    <row r="125" hidden="1">
      <c r="A125" s="9">
        <f t="shared" si="7"/>
        <v>55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>IFERROR(INDEX(rngData,MATCH($B125,rngYear,0),MATCH(OFFSET(F125,-$A125,0),rngColumnNames,0)),"")</f>
      </c>
      <c r="G125" s="11">
        <f t="shared" si="6"/>
      </c>
    </row>
    <row r="126" hidden="1">
      <c r="A126" s="9">
        <f t="shared" si="7"/>
        <v>56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>IFERROR(INDEX(rngData,MATCH($B126,rngYear,0),MATCH(OFFSET(F126,-$A126,0),rngColumnNames,0)),"")</f>
      </c>
      <c r="G126" s="11">
        <f t="shared" si="6"/>
      </c>
    </row>
    <row r="127" hidden="1">
      <c r="A127" s="9">
        <f t="shared" si="7"/>
        <v>57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>IFERROR(INDEX(rngData,MATCH($B127,rngYear,0),MATCH(OFFSET(F127,-$A127,0),rngColumnNames,0)),"")</f>
      </c>
      <c r="G127" s="11">
        <f t="shared" si="6"/>
      </c>
    </row>
    <row r="128" hidden="1">
      <c r="A128" s="9">
        <f t="shared" si="7"/>
        <v>58</v>
      </c>
      <c r="B128" s="10">
        <f>IF(INDEX(rngYear,A128+1)&lt;&gt;0,INDEX(rngYear,A128+1),"")</f>
      </c>
      <c r="C128" s="11">
        <f>IFERROR(INDEX(rngData,MATCH($B128,rngYear,0),MATCH(OFFSET(C128,-$A128,0),rngColumnNames,0)),"")</f>
      </c>
      <c r="D128" s="11">
        <f>IFERROR(INDEX(rngData,MATCH($B128,rngYear,0),MATCH(OFFSET(D128,-$A128,0),rngColumnNames,0)),"")</f>
      </c>
      <c r="E128" s="11">
        <f>IFERROR(INDEX(rngData,MATCH($B128,rngYear,0),MATCH(OFFSET(E128,-$A128,0),rngColumnNames,0)),"")</f>
      </c>
      <c r="F128" s="11">
        <f>IFERROR(INDEX(rngData,MATCH($B128,rngYear,0),MATCH(OFFSET(F128,-$A128,0),rngColumnNames,0)),"")</f>
      </c>
      <c r="G128" s="11">
        <f t="shared" si="6"/>
      </c>
    </row>
    <row r="129" hidden="1">
      <c r="A129" s="9">
        <f t="shared" si="7"/>
        <v>59</v>
      </c>
      <c r="B129" s="10">
        <f>IF(INDEX(rngYear,A129+1)&lt;&gt;0,INDEX(rngYear,A129+1),"")</f>
      </c>
      <c r="C129" s="11">
        <f>IFERROR(INDEX(rngData,MATCH($B129,rngYear,0),MATCH(OFFSET(C129,-$A129,0),rngColumnNames,0)),"")</f>
      </c>
      <c r="D129" s="11">
        <f>IFERROR(INDEX(rngData,MATCH($B129,rngYear,0),MATCH(OFFSET(D129,-$A129,0),rngColumnNames,0)),"")</f>
      </c>
      <c r="E129" s="11">
        <f>IFERROR(INDEX(rngData,MATCH($B129,rngYear,0),MATCH(OFFSET(E129,-$A129,0),rngColumnNames,0)),"")</f>
      </c>
      <c r="F129" s="11">
        <f>IFERROR(INDEX(rngData,MATCH($B129,rngYear,0),MATCH(OFFSET(F129,-$A129,0),rngColumnNames,0)),"")</f>
      </c>
      <c r="G129" s="11">
        <f t="shared" si="6"/>
      </c>
    </row>
    <row r="130" hidden="1">
      <c r="A130" s="9">
        <f t="shared" si="7"/>
        <v>60</v>
      </c>
      <c r="B130" s="10">
        <f>IF(INDEX(rngYear,A130+1)&lt;&gt;0,INDEX(rngYear,A130+1),"")</f>
      </c>
      <c r="C130" s="11">
        <f>IFERROR(INDEX(rngData,MATCH($B130,rngYear,0),MATCH(OFFSET(C130,-$A130,0),rngColumnNames,0)),"")</f>
      </c>
      <c r="D130" s="11">
        <f>IFERROR(INDEX(rngData,MATCH($B130,rngYear,0),MATCH(OFFSET(D130,-$A130,0),rngColumnNames,0)),"")</f>
      </c>
      <c r="E130" s="11">
        <f>IFERROR(INDEX(rngData,MATCH($B130,rngYear,0),MATCH(OFFSET(E130,-$A130,0),rngColumnNames,0)),"")</f>
      </c>
      <c r="F130" s="11">
        <f>IFERROR(INDEX(rngData,MATCH($B130,rngYear,0),MATCH(OFFSET(F130,-$A130,0),rngColumnNames,0)),"")</f>
      </c>
      <c r="G130" s="11">
        <f t="shared" si="6"/>
      </c>
    </row>
    <row r="132" ht="19.5" customHeight="1">
      <c r="A132" s="16" t="s">
        <v>15</v>
      </c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</row>
    <row r="133" ht="15" customHeight="1">
      <c r="B133" s="4"/>
      <c r="C133" s="5" t="s">
        <v>1</v>
      </c>
      <c r="D133" s="5" t="s">
        <v>2</v>
      </c>
      <c r="E133" s="17" t="s">
        <v>3</v>
      </c>
      <c r="F133" s="18"/>
      <c r="G133" s="19"/>
    </row>
    <row r="134" ht="23.25" customHeight="1">
      <c r="A134" s="6" t="s">
        <v>4</v>
      </c>
      <c r="B134" s="7" t="s">
        <v>5</v>
      </c>
      <c r="C134" s="7" t="s">
        <v>16</v>
      </c>
      <c r="D134" s="7" t="s">
        <v>17</v>
      </c>
      <c r="E134" s="7" t="s">
        <v>18</v>
      </c>
      <c r="F134" s="7" t="s">
        <v>19</v>
      </c>
      <c r="G134" s="8" t="s">
        <v>3</v>
      </c>
    </row>
    <row r="135">
      <c r="A135" s="9">
        <v>1</v>
      </c>
      <c r="B135" s="10">
        <f>IF(INDEX(rngYear,A135+1)&lt;&gt;0,INDEX(rngYear,A135+1),"")</f>
        <v>1980</v>
      </c>
      <c r="C135" s="11">
        <f>IFERROR(INDEX(rngData,MATCH($B135,rngYear,0),MATCH(OFFSET(C135,-$A135,0),rngColumnNames,0)),"")</f>
        <v>0</v>
      </c>
      <c r="D135" s="11">
        <f>IFERROR(INDEX(rngData,MATCH($B135,rngYear,0),MATCH(OFFSET(D135,-$A135,0),rngColumnNames,0)),"")</f>
        <v>0</v>
      </c>
      <c r="E135" s="11">
        <f>IFERROR(INDEX(rngData,MATCH($B135,rngYear,0),MATCH(OFFSET(E135,-$A135,0),rngColumnNames,0)),"")</f>
        <v>0</v>
      </c>
      <c r="F135" s="11">
        <f>IFERROR(INDEX(rngData,MATCH($B135,rngYear,0),MATCH(OFFSET(F135,-$A135,0),rngColumnNames,0)),"")</f>
        <v>0</v>
      </c>
      <c r="G135" s="11">
        <f ref="G135:G166" t="shared" si="8">IFERROR(F135-E135,"")</f>
        <v>0</v>
      </c>
    </row>
    <row r="136">
      <c r="A136" s="9">
        <f ref="A136:A167" t="shared" si="9">A135+1</f>
        <v>2</v>
      </c>
      <c r="B136" s="10">
        <f>IF(INDEX(rngYear,A136+1)&lt;&gt;0,INDEX(rngYear,A136+1),"")</f>
        <v>1981</v>
      </c>
      <c r="C136" s="11">
        <f>IFERROR(INDEX(rngData,MATCH($B136,rngYear,0),MATCH(OFFSET(C136,-$A136,0),rngColumnNames,0)),"")</f>
        <v>0</v>
      </c>
      <c r="D136" s="11">
        <f>IFERROR(INDEX(rngData,MATCH($B136,rngYear,0),MATCH(OFFSET(D136,-$A136,0),rngColumnNames,0)),"")</f>
        <v>0</v>
      </c>
      <c r="E136" s="11">
        <f>IFERROR(INDEX(rngData,MATCH($B136,rngYear,0),MATCH(OFFSET(E136,-$A136,0),rngColumnNames,0)),"")</f>
        <v>0</v>
      </c>
      <c r="F136" s="11">
        <f>IFERROR(INDEX(rngData,MATCH($B136,rngYear,0),MATCH(OFFSET(F136,-$A136,0),rngColumnNames,0)),"")</f>
        <v>0</v>
      </c>
      <c r="G136" s="11">
        <f t="shared" si="8"/>
        <v>0</v>
      </c>
    </row>
    <row r="137">
      <c r="A137" s="9">
        <f t="shared" si="9"/>
        <v>3</v>
      </c>
      <c r="B137" s="10">
        <f>IF(INDEX(rngYear,A137+1)&lt;&gt;0,INDEX(rngYear,A137+1),"")</f>
        <v>1982</v>
      </c>
      <c r="C137" s="11">
        <f>IFERROR(INDEX(rngData,MATCH($B137,rngYear,0),MATCH(OFFSET(C137,-$A137,0),rngColumnNames,0)),"")</f>
        <v>0</v>
      </c>
      <c r="D137" s="11">
        <f>IFERROR(INDEX(rngData,MATCH($B137,rngYear,0),MATCH(OFFSET(D137,-$A137,0),rngColumnNames,0)),"")</f>
        <v>0</v>
      </c>
      <c r="E137" s="11">
        <f>IFERROR(INDEX(rngData,MATCH($B137,rngYear,0),MATCH(OFFSET(E137,-$A137,0),rngColumnNames,0)),"")</f>
        <v>0</v>
      </c>
      <c r="F137" s="11">
        <f>IFERROR(INDEX(rngData,MATCH($B137,rngYear,0),MATCH(OFFSET(F137,-$A137,0),rngColumnNames,0)),"")</f>
        <v>0</v>
      </c>
      <c r="G137" s="11">
        <f t="shared" si="8"/>
        <v>0</v>
      </c>
    </row>
    <row r="138">
      <c r="A138" s="9">
        <f t="shared" si="9"/>
        <v>4</v>
      </c>
      <c r="B138" s="10">
        <f>IF(INDEX(rngYear,A138+1)&lt;&gt;0,INDEX(rngYear,A138+1),"")</f>
        <v>1983</v>
      </c>
      <c r="C138" s="11">
        <f>IFERROR(INDEX(rngData,MATCH($B138,rngYear,0),MATCH(OFFSET(C138,-$A138,0),rngColumnNames,0)),"")</f>
        <v>0</v>
      </c>
      <c r="D138" s="11">
        <f>IFERROR(INDEX(rngData,MATCH($B138,rngYear,0),MATCH(OFFSET(D138,-$A138,0),rngColumnNames,0)),"")</f>
        <v>0</v>
      </c>
      <c r="E138" s="11">
        <f>IFERROR(INDEX(rngData,MATCH($B138,rngYear,0),MATCH(OFFSET(E138,-$A138,0),rngColumnNames,0)),"")</f>
        <v>0</v>
      </c>
      <c r="F138" s="11">
        <f>IFERROR(INDEX(rngData,MATCH($B138,rngYear,0),MATCH(OFFSET(F138,-$A138,0),rngColumnNames,0)),"")</f>
        <v>0</v>
      </c>
      <c r="G138" s="11">
        <f t="shared" si="8"/>
        <v>0</v>
      </c>
    </row>
    <row r="139">
      <c r="A139" s="9">
        <f t="shared" si="9"/>
        <v>5</v>
      </c>
      <c r="B139" s="10">
        <f>IF(INDEX(rngYear,A139+1)&lt;&gt;0,INDEX(rngYear,A139+1),"")</f>
        <v>1984</v>
      </c>
      <c r="C139" s="11">
        <f>IFERROR(INDEX(rngData,MATCH($B139,rngYear,0),MATCH(OFFSET(C139,-$A139,0),rngColumnNames,0)),"")</f>
        <v>10</v>
      </c>
      <c r="D139" s="11">
        <f>IFERROR(INDEX(rngData,MATCH($B139,rngYear,0),MATCH(OFFSET(D139,-$A139,0),rngColumnNames,0)),"")</f>
        <v>13.516629</v>
      </c>
      <c r="E139" s="11">
        <f>IFERROR(INDEX(rngData,MATCH($B139,rngYear,0),MATCH(OFFSET(E139,-$A139,0),rngColumnNames,0)),"")</f>
        <v>7.596359</v>
      </c>
      <c r="F139" s="11">
        <f>IFERROR(INDEX(rngData,MATCH($B139,rngYear,0),MATCH(OFFSET(F139,-$A139,0),rngColumnNames,0)),"")</f>
        <v>19.742696</v>
      </c>
      <c r="G139" s="11">
        <f t="shared" si="8"/>
        <v>12.146336999999999</v>
      </c>
    </row>
    <row r="140">
      <c r="A140" s="9">
        <f t="shared" si="9"/>
        <v>6</v>
      </c>
      <c r="B140" s="10">
        <f>IF(INDEX(rngYear,A140+1)&lt;&gt;0,INDEX(rngYear,A140+1),"")</f>
        <v>1985</v>
      </c>
      <c r="C140" s="11">
        <f>IFERROR(INDEX(rngData,MATCH($B140,rngYear,0),MATCH(OFFSET(C140,-$A140,0),rngColumnNames,0)),"")</f>
        <v>29</v>
      </c>
      <c r="D140" s="11">
        <f>IFERROR(INDEX(rngData,MATCH($B140,rngYear,0),MATCH(OFFSET(D140,-$A140,0),rngColumnNames,0)),"")</f>
        <v>10.704444</v>
      </c>
      <c r="E140" s="11">
        <f>IFERROR(INDEX(rngData,MATCH($B140,rngYear,0),MATCH(OFFSET(E140,-$A140,0),rngColumnNames,0)),"")</f>
        <v>6.86709</v>
      </c>
      <c r="F140" s="11">
        <f>IFERROR(INDEX(rngData,MATCH($B140,rngYear,0),MATCH(OFFSET(F140,-$A140,0),rngColumnNames,0)),"")</f>
        <v>14.548714</v>
      </c>
      <c r="G140" s="11">
        <f t="shared" si="8"/>
        <v>7.681624</v>
      </c>
    </row>
    <row r="141">
      <c r="A141" s="9">
        <f t="shared" si="9"/>
        <v>7</v>
      </c>
      <c r="B141" s="10">
        <f>IF(INDEX(rngYear,A141+1)&lt;&gt;0,INDEX(rngYear,A141+1),"")</f>
        <v>1986</v>
      </c>
      <c r="C141" s="11">
        <f>IFERROR(INDEX(rngData,MATCH($B141,rngYear,0),MATCH(OFFSET(C141,-$A141,0),rngColumnNames,0)),"")</f>
        <v>7</v>
      </c>
      <c r="D141" s="11">
        <f>IFERROR(INDEX(rngData,MATCH($B141,rngYear,0),MATCH(OFFSET(D141,-$A141,0),rngColumnNames,0)),"")</f>
        <v>9.615514</v>
      </c>
      <c r="E141" s="11">
        <f>IFERROR(INDEX(rngData,MATCH($B141,rngYear,0),MATCH(OFFSET(E141,-$A141,0),rngColumnNames,0)),"")</f>
        <v>6.287846</v>
      </c>
      <c r="F141" s="11">
        <f>IFERROR(INDEX(rngData,MATCH($B141,rngYear,0),MATCH(OFFSET(F141,-$A141,0),rngColumnNames,0)),"")</f>
        <v>12.477986</v>
      </c>
      <c r="G141" s="11">
        <f t="shared" si="8"/>
        <v>6.1901399999999995</v>
      </c>
    </row>
    <row r="142">
      <c r="A142" s="9">
        <f t="shared" si="9"/>
        <v>8</v>
      </c>
      <c r="B142" s="10">
        <f>IF(INDEX(rngYear,A142+1)&lt;&gt;0,INDEX(rngYear,A142+1),"")</f>
        <v>1987</v>
      </c>
      <c r="C142" s="11">
        <f>IFERROR(INDEX(rngData,MATCH($B142,rngYear,0),MATCH(OFFSET(C142,-$A142,0),rngColumnNames,0)),"")</f>
        <v>15</v>
      </c>
      <c r="D142" s="11">
        <f>IFERROR(INDEX(rngData,MATCH($B142,rngYear,0),MATCH(OFFSET(D142,-$A142,0),rngColumnNames,0)),"")</f>
        <v>9.297362</v>
      </c>
      <c r="E142" s="11">
        <f>IFERROR(INDEX(rngData,MATCH($B142,rngYear,0),MATCH(OFFSET(E142,-$A142,0),rngColumnNames,0)),"")</f>
        <v>6.455987</v>
      </c>
      <c r="F142" s="11">
        <f>IFERROR(INDEX(rngData,MATCH($B142,rngYear,0),MATCH(OFFSET(F142,-$A142,0),rngColumnNames,0)),"")</f>
        <v>12.322402</v>
      </c>
      <c r="G142" s="11">
        <f t="shared" si="8"/>
        <v>5.866415</v>
      </c>
    </row>
    <row r="143">
      <c r="A143" s="9">
        <f t="shared" si="9"/>
        <v>9</v>
      </c>
      <c r="B143" s="10">
        <f>IF(INDEX(rngYear,A143+1)&lt;&gt;0,INDEX(rngYear,A143+1),"")</f>
        <v>1988</v>
      </c>
      <c r="C143" s="11">
        <f>IFERROR(INDEX(rngData,MATCH($B143,rngYear,0),MATCH(OFFSET(C143,-$A143,0),rngColumnNames,0)),"")</f>
        <v>9</v>
      </c>
      <c r="D143" s="11">
        <f>IFERROR(INDEX(rngData,MATCH($B143,rngYear,0),MATCH(OFFSET(D143,-$A143,0),rngColumnNames,0)),"")</f>
        <v>15.425846</v>
      </c>
      <c r="E143" s="11">
        <f>IFERROR(INDEX(rngData,MATCH($B143,rngYear,0),MATCH(OFFSET(E143,-$A143,0),rngColumnNames,0)),"")</f>
        <v>12.005074</v>
      </c>
      <c r="F143" s="11">
        <f>IFERROR(INDEX(rngData,MATCH($B143,rngYear,0),MATCH(OFFSET(F143,-$A143,0),rngColumnNames,0)),"")</f>
        <v>19.071609</v>
      </c>
      <c r="G143" s="11">
        <f t="shared" si="8"/>
        <v>7.0665349999999982</v>
      </c>
    </row>
    <row r="144">
      <c r="A144" s="9">
        <f t="shared" si="9"/>
        <v>10</v>
      </c>
      <c r="B144" s="10">
        <f>IF(INDEX(rngYear,A144+1)&lt;&gt;0,INDEX(rngYear,A144+1),"")</f>
        <v>1989</v>
      </c>
      <c r="C144" s="11">
        <f>IFERROR(INDEX(rngData,MATCH($B144,rngYear,0),MATCH(OFFSET(C144,-$A144,0),rngColumnNames,0)),"")</f>
        <v>9</v>
      </c>
      <c r="D144" s="11">
        <f>IFERROR(INDEX(rngData,MATCH($B144,rngYear,0),MATCH(OFFSET(D144,-$A144,0),rngColumnNames,0)),"")</f>
        <v>20.686384</v>
      </c>
      <c r="E144" s="11">
        <f>IFERROR(INDEX(rngData,MATCH($B144,rngYear,0),MATCH(OFFSET(E144,-$A144,0),rngColumnNames,0)),"")</f>
        <v>16.603528</v>
      </c>
      <c r="F144" s="11">
        <f>IFERROR(INDEX(rngData,MATCH($B144,rngYear,0),MATCH(OFFSET(F144,-$A144,0),rngColumnNames,0)),"")</f>
        <v>25.283959</v>
      </c>
      <c r="G144" s="11">
        <f t="shared" si="8"/>
        <v>8.6804309999999987</v>
      </c>
    </row>
    <row r="145">
      <c r="A145" s="9">
        <f t="shared" si="9"/>
        <v>11</v>
      </c>
      <c r="B145" s="10">
        <f>IF(INDEX(rngYear,A145+1)&lt;&gt;0,INDEX(rngYear,A145+1),"")</f>
        <v>1990</v>
      </c>
      <c r="C145" s="11">
        <f>IFERROR(INDEX(rngData,MATCH($B145,rngYear,0),MATCH(OFFSET(C145,-$A145,0),rngColumnNames,0)),"")</f>
        <v>13</v>
      </c>
      <c r="D145" s="11">
        <f>IFERROR(INDEX(rngData,MATCH($B145,rngYear,0),MATCH(OFFSET(D145,-$A145,0),rngColumnNames,0)),"")</f>
        <v>21.270082</v>
      </c>
      <c r="E145" s="11">
        <f>IFERROR(INDEX(rngData,MATCH($B145,rngYear,0),MATCH(OFFSET(E145,-$A145,0),rngColumnNames,0)),"")</f>
        <v>16.409511</v>
      </c>
      <c r="F145" s="11">
        <f>IFERROR(INDEX(rngData,MATCH($B145,rngYear,0),MATCH(OFFSET(F145,-$A145,0),rngColumnNames,0)),"")</f>
        <v>24.647364</v>
      </c>
      <c r="G145" s="11">
        <f t="shared" si="8"/>
        <v>8.2378530000000012</v>
      </c>
    </row>
    <row r="146">
      <c r="A146" s="9">
        <f t="shared" si="9"/>
        <v>12</v>
      </c>
      <c r="B146" s="10">
        <f>IF(INDEX(rngYear,A146+1)&lt;&gt;0,INDEX(rngYear,A146+1),"")</f>
        <v>1991</v>
      </c>
      <c r="C146" s="11">
        <f>IFERROR(INDEX(rngData,MATCH($B146,rngYear,0),MATCH(OFFSET(C146,-$A146,0),rngColumnNames,0)),"")</f>
        <v>15</v>
      </c>
      <c r="D146" s="11">
        <f>IFERROR(INDEX(rngData,MATCH($B146,rngYear,0),MATCH(OFFSET(D146,-$A146,0),rngColumnNames,0)),"")</f>
        <v>20.300629</v>
      </c>
      <c r="E146" s="11">
        <f>IFERROR(INDEX(rngData,MATCH($B146,rngYear,0),MATCH(OFFSET(E146,-$A146,0),rngColumnNames,0)),"")</f>
        <v>16.255392</v>
      </c>
      <c r="F146" s="11">
        <f>IFERROR(INDEX(rngData,MATCH($B146,rngYear,0),MATCH(OFFSET(F146,-$A146,0),rngColumnNames,0)),"")</f>
        <v>24.277645</v>
      </c>
      <c r="G146" s="11">
        <f t="shared" si="8"/>
        <v>8.022253</v>
      </c>
    </row>
    <row r="147">
      <c r="A147" s="9">
        <f t="shared" si="9"/>
        <v>13</v>
      </c>
      <c r="B147" s="10">
        <f>IF(INDEX(rngYear,A147+1)&lt;&gt;0,INDEX(rngYear,A147+1),"")</f>
        <v>1992</v>
      </c>
      <c r="C147" s="11">
        <f>IFERROR(INDEX(rngData,MATCH($B147,rngYear,0),MATCH(OFFSET(C147,-$A147,0),rngColumnNames,0)),"")</f>
        <v>50</v>
      </c>
      <c r="D147" s="11">
        <f>IFERROR(INDEX(rngData,MATCH($B147,rngYear,0),MATCH(OFFSET(D147,-$A147,0),rngColumnNames,0)),"")</f>
        <v>56.608492</v>
      </c>
      <c r="E147" s="11">
        <f>IFERROR(INDEX(rngData,MATCH($B147,rngYear,0),MATCH(OFFSET(E147,-$A147,0),rngColumnNames,0)),"")</f>
        <v>48.470423</v>
      </c>
      <c r="F147" s="11">
        <f>IFERROR(INDEX(rngData,MATCH($B147,rngYear,0),MATCH(OFFSET(F147,-$A147,0),rngColumnNames,0)),"")</f>
        <v>62.585835</v>
      </c>
      <c r="G147" s="11">
        <f t="shared" si="8"/>
        <v>14.115412000000006</v>
      </c>
    </row>
    <row r="148">
      <c r="A148" s="9">
        <f t="shared" si="9"/>
        <v>14</v>
      </c>
      <c r="B148" s="10">
        <f>IF(INDEX(rngYear,A148+1)&lt;&gt;0,INDEX(rngYear,A148+1),"")</f>
        <v>1993</v>
      </c>
      <c r="C148" s="11">
        <f>IFERROR(INDEX(rngData,MATCH($B148,rngYear,0),MATCH(OFFSET(C148,-$A148,0),rngColumnNames,0)),"")</f>
        <v>76</v>
      </c>
      <c r="D148" s="11">
        <f>IFERROR(INDEX(rngData,MATCH($B148,rngYear,0),MATCH(OFFSET(D148,-$A148,0),rngColumnNames,0)),"")</f>
        <v>87.260052</v>
      </c>
      <c r="E148" s="11">
        <f>IFERROR(INDEX(rngData,MATCH($B148,rngYear,0),MATCH(OFFSET(E148,-$A148,0),rngColumnNames,0)),"")</f>
        <v>77.25164</v>
      </c>
      <c r="F148" s="11">
        <f>IFERROR(INDEX(rngData,MATCH($B148,rngYear,0),MATCH(OFFSET(F148,-$A148,0),rngColumnNames,0)),"")</f>
        <v>95.922431</v>
      </c>
      <c r="G148" s="11">
        <f t="shared" si="8"/>
        <v>18.670791000000008</v>
      </c>
    </row>
    <row r="149">
      <c r="A149" s="9">
        <f t="shared" si="9"/>
        <v>15</v>
      </c>
      <c r="B149" s="10">
        <f>IF(INDEX(rngYear,A149+1)&lt;&gt;0,INDEX(rngYear,A149+1),"")</f>
        <v>1994</v>
      </c>
      <c r="C149" s="11">
        <f>IFERROR(INDEX(rngData,MATCH($B149,rngYear,0),MATCH(OFFSET(C149,-$A149,0),rngColumnNames,0)),"")</f>
        <v>109</v>
      </c>
      <c r="D149" s="11">
        <f>IFERROR(INDEX(rngData,MATCH($B149,rngYear,0),MATCH(OFFSET(D149,-$A149,0),rngColumnNames,0)),"")</f>
        <v>140.927186</v>
      </c>
      <c r="E149" s="11">
        <f>IFERROR(INDEX(rngData,MATCH($B149,rngYear,0),MATCH(OFFSET(E149,-$A149,0),rngColumnNames,0)),"")</f>
        <v>129.07665</v>
      </c>
      <c r="F149" s="11">
        <f>IFERROR(INDEX(rngData,MATCH($B149,rngYear,0),MATCH(OFFSET(F149,-$A149,0),rngColumnNames,0)),"")</f>
        <v>153.493295</v>
      </c>
      <c r="G149" s="11">
        <f t="shared" si="8"/>
        <v>24.416644999999988</v>
      </c>
    </row>
    <row r="150">
      <c r="A150" s="9">
        <f t="shared" si="9"/>
        <v>16</v>
      </c>
      <c r="B150" s="10">
        <f>IF(INDEX(rngYear,A150+1)&lt;&gt;0,INDEX(rngYear,A150+1),"")</f>
        <v>1995</v>
      </c>
      <c r="C150" s="11">
        <f>IFERROR(INDEX(rngData,MATCH($B150,rngYear,0),MATCH(OFFSET(C150,-$A150,0),rngColumnNames,0)),"")</f>
        <v>98</v>
      </c>
      <c r="D150" s="11">
        <f>IFERROR(INDEX(rngData,MATCH($B150,rngYear,0),MATCH(OFFSET(D150,-$A150,0),rngColumnNames,0)),"")</f>
        <v>97.936671</v>
      </c>
      <c r="E150" s="11">
        <f>IFERROR(INDEX(rngData,MATCH($B150,rngYear,0),MATCH(OFFSET(E150,-$A150,0),rngColumnNames,0)),"")</f>
        <v>90.137415</v>
      </c>
      <c r="F150" s="11">
        <f>IFERROR(INDEX(rngData,MATCH($B150,rngYear,0),MATCH(OFFSET(F150,-$A150,0),rngColumnNames,0)),"")</f>
        <v>105.548169</v>
      </c>
      <c r="G150" s="11">
        <f t="shared" si="8"/>
        <v>15.410753999999997</v>
      </c>
    </row>
    <row r="151">
      <c r="A151" s="9">
        <f t="shared" si="9"/>
        <v>17</v>
      </c>
      <c r="B151" s="10">
        <f>IF(INDEX(rngYear,A151+1)&lt;&gt;0,INDEX(rngYear,A151+1),"")</f>
        <v>1996</v>
      </c>
      <c r="C151" s="11">
        <f>IFERROR(INDEX(rngData,MATCH($B151,rngYear,0),MATCH(OFFSET(C151,-$A151,0),rngColumnNames,0)),"")</f>
        <v>97</v>
      </c>
      <c r="D151" s="11">
        <f>IFERROR(INDEX(rngData,MATCH($B151,rngYear,0),MATCH(OFFSET(D151,-$A151,0),rngColumnNames,0)),"")</f>
        <v>110.066078</v>
      </c>
      <c r="E151" s="11">
        <f>IFERROR(INDEX(rngData,MATCH($B151,rngYear,0),MATCH(OFFSET(E151,-$A151,0),rngColumnNames,0)),"")</f>
        <v>102.772184</v>
      </c>
      <c r="F151" s="11">
        <f>IFERROR(INDEX(rngData,MATCH($B151,rngYear,0),MATCH(OFFSET(F151,-$A151,0),rngColumnNames,0)),"")</f>
        <v>120.664043</v>
      </c>
      <c r="G151" s="11">
        <f t="shared" si="8"/>
        <v>17.891859000000011</v>
      </c>
    </row>
    <row r="152">
      <c r="A152" s="9">
        <f t="shared" si="9"/>
        <v>18</v>
      </c>
      <c r="B152" s="10">
        <f>IF(INDEX(rngYear,A152+1)&lt;&gt;0,INDEX(rngYear,A152+1),"")</f>
        <v>1997</v>
      </c>
      <c r="C152" s="11">
        <f>IFERROR(INDEX(rngData,MATCH($B152,rngYear,0),MATCH(OFFSET(C152,-$A152,0),rngColumnNames,0)),"")</f>
        <v>102</v>
      </c>
      <c r="D152" s="11">
        <f>IFERROR(INDEX(rngData,MATCH($B152,rngYear,0),MATCH(OFFSET(D152,-$A152,0),rngColumnNames,0)),"")</f>
        <v>114.890152</v>
      </c>
      <c r="E152" s="11">
        <f>IFERROR(INDEX(rngData,MATCH($B152,rngYear,0),MATCH(OFFSET(E152,-$A152,0),rngColumnNames,0)),"")</f>
        <v>107.332056</v>
      </c>
      <c r="F152" s="11">
        <f>IFERROR(INDEX(rngData,MATCH($B152,rngYear,0),MATCH(OFFSET(F152,-$A152,0),rngColumnNames,0)),"")</f>
        <v>121.880261</v>
      </c>
      <c r="G152" s="11">
        <f t="shared" si="8"/>
        <v>14.54820500000001</v>
      </c>
    </row>
    <row r="153">
      <c r="A153" s="9">
        <f t="shared" si="9"/>
        <v>19</v>
      </c>
      <c r="B153" s="10">
        <f>IF(INDEX(rngYear,A153+1)&lt;&gt;0,INDEX(rngYear,A153+1),"")</f>
        <v>1998</v>
      </c>
      <c r="C153" s="11">
        <f>IFERROR(INDEX(rngData,MATCH($B153,rngYear,0),MATCH(OFFSET(C153,-$A153,0),rngColumnNames,0)),"")</f>
        <v>106</v>
      </c>
      <c r="D153" s="11">
        <f>IFERROR(INDEX(rngData,MATCH($B153,rngYear,0),MATCH(OFFSET(D153,-$A153,0),rngColumnNames,0)),"")</f>
        <v>104.735811</v>
      </c>
      <c r="E153" s="11">
        <f>IFERROR(INDEX(rngData,MATCH($B153,rngYear,0),MATCH(OFFSET(E153,-$A153,0),rngColumnNames,0)),"")</f>
        <v>95.501199</v>
      </c>
      <c r="F153" s="11">
        <f>IFERROR(INDEX(rngData,MATCH($B153,rngYear,0),MATCH(OFFSET(F153,-$A153,0),rngColumnNames,0)),"")</f>
        <v>110.573859</v>
      </c>
      <c r="G153" s="11">
        <f t="shared" si="8"/>
        <v>15.072659999999999</v>
      </c>
    </row>
    <row r="154">
      <c r="A154" s="9">
        <f t="shared" si="9"/>
        <v>20</v>
      </c>
      <c r="B154" s="10">
        <f>IF(INDEX(rngYear,A154+1)&lt;&gt;0,INDEX(rngYear,A154+1),"")</f>
        <v>1999</v>
      </c>
      <c r="C154" s="11">
        <f>IFERROR(INDEX(rngData,MATCH($B154,rngYear,0),MATCH(OFFSET(C154,-$A154,0),rngColumnNames,0)),"")</f>
        <v>89</v>
      </c>
      <c r="D154" s="11">
        <f>IFERROR(INDEX(rngData,MATCH($B154,rngYear,0),MATCH(OFFSET(D154,-$A154,0),rngColumnNames,0)),"")</f>
        <v>87.733821</v>
      </c>
      <c r="E154" s="11">
        <f>IFERROR(INDEX(rngData,MATCH($B154,rngYear,0),MATCH(OFFSET(E154,-$A154,0),rngColumnNames,0)),"")</f>
        <v>80.962817</v>
      </c>
      <c r="F154" s="11">
        <f>IFERROR(INDEX(rngData,MATCH($B154,rngYear,0),MATCH(OFFSET(F154,-$A154,0),rngColumnNames,0)),"")</f>
        <v>94.78648</v>
      </c>
      <c r="G154" s="11">
        <f t="shared" si="8"/>
        <v>13.823662999999996</v>
      </c>
    </row>
    <row r="155">
      <c r="A155" s="9">
        <f t="shared" si="9"/>
        <v>21</v>
      </c>
      <c r="B155" s="10">
        <f>IF(INDEX(rngYear,A155+1)&lt;&gt;0,INDEX(rngYear,A155+1),"")</f>
        <v>2000</v>
      </c>
      <c r="C155" s="11">
        <f>IFERROR(INDEX(rngData,MATCH($B155,rngYear,0),MATCH(OFFSET(C155,-$A155,0),rngColumnNames,0)),"")</f>
        <v>98</v>
      </c>
      <c r="D155" s="11">
        <f>IFERROR(INDEX(rngData,MATCH($B155,rngYear,0),MATCH(OFFSET(D155,-$A155,0),rngColumnNames,0)),"")</f>
        <v>109.426698</v>
      </c>
      <c r="E155" s="11">
        <f>IFERROR(INDEX(rngData,MATCH($B155,rngYear,0),MATCH(OFFSET(E155,-$A155,0),rngColumnNames,0)),"")</f>
        <v>101.303275</v>
      </c>
      <c r="F155" s="11">
        <f>IFERROR(INDEX(rngData,MATCH($B155,rngYear,0),MATCH(OFFSET(F155,-$A155,0),rngColumnNames,0)),"")</f>
        <v>119.334263</v>
      </c>
      <c r="G155" s="11">
        <f t="shared" si="8"/>
        <v>18.030988000000008</v>
      </c>
    </row>
    <row r="156">
      <c r="A156" s="9">
        <f t="shared" si="9"/>
        <v>22</v>
      </c>
      <c r="B156" s="10">
        <f>IF(INDEX(rngYear,A156+1)&lt;&gt;0,INDEX(rngYear,A156+1),"")</f>
        <v>2001</v>
      </c>
      <c r="C156" s="11">
        <f>IFERROR(INDEX(rngData,MATCH($B156,rngYear,0),MATCH(OFFSET(C156,-$A156,0),rngColumnNames,0)),"")</f>
        <v>106</v>
      </c>
      <c r="D156" s="11">
        <f>IFERROR(INDEX(rngData,MATCH($B156,rngYear,0),MATCH(OFFSET(D156,-$A156,0),rngColumnNames,0)),"")</f>
        <v>100.036789</v>
      </c>
      <c r="E156" s="11">
        <f>IFERROR(INDEX(rngData,MATCH($B156,rngYear,0),MATCH(OFFSET(E156,-$A156,0),rngColumnNames,0)),"")</f>
        <v>93.081872</v>
      </c>
      <c r="F156" s="11">
        <f>IFERROR(INDEX(rngData,MATCH($B156,rngYear,0),MATCH(OFFSET(F156,-$A156,0),rngColumnNames,0)),"")</f>
        <v>106.600119</v>
      </c>
      <c r="G156" s="11">
        <f t="shared" si="8"/>
        <v>13.518247000000002</v>
      </c>
    </row>
    <row r="157">
      <c r="A157" s="9">
        <f t="shared" si="9"/>
        <v>23</v>
      </c>
      <c r="B157" s="10">
        <f>IF(INDEX(rngYear,A157+1)&lt;&gt;0,INDEX(rngYear,A157+1),"")</f>
        <v>2002</v>
      </c>
      <c r="C157" s="11">
        <f>IFERROR(INDEX(rngData,MATCH($B157,rngYear,0),MATCH(OFFSET(C157,-$A157,0),rngColumnNames,0)),"")</f>
        <v>114</v>
      </c>
      <c r="D157" s="11">
        <f>IFERROR(INDEX(rngData,MATCH($B157,rngYear,0),MATCH(OFFSET(D157,-$A157,0),rngColumnNames,0)),"")</f>
        <v>99.823899</v>
      </c>
      <c r="E157" s="11">
        <f>IFERROR(INDEX(rngData,MATCH($B157,rngYear,0),MATCH(OFFSET(E157,-$A157,0),rngColumnNames,0)),"")</f>
        <v>91.18978</v>
      </c>
      <c r="F157" s="11">
        <f>IFERROR(INDEX(rngData,MATCH($B157,rngYear,0),MATCH(OFFSET(F157,-$A157,0),rngColumnNames,0)),"")</f>
        <v>107.28439</v>
      </c>
      <c r="G157" s="11">
        <f t="shared" si="8"/>
        <v>16.094610000000003</v>
      </c>
    </row>
    <row r="158">
      <c r="A158" s="9">
        <f t="shared" si="9"/>
        <v>24</v>
      </c>
      <c r="B158" s="10">
        <f>IF(INDEX(rngYear,A158+1)&lt;&gt;0,INDEX(rngYear,A158+1),"")</f>
        <v>2003</v>
      </c>
      <c r="C158" s="11">
        <f>IFERROR(INDEX(rngData,MATCH($B158,rngYear,0),MATCH(OFFSET(C158,-$A158,0),rngColumnNames,0)),"")</f>
        <v>130</v>
      </c>
      <c r="D158" s="11">
        <f>IFERROR(INDEX(rngData,MATCH($B158,rngYear,0),MATCH(OFFSET(D158,-$A158,0),rngColumnNames,0)),"")</f>
        <v>109.316885</v>
      </c>
      <c r="E158" s="11">
        <f>IFERROR(INDEX(rngData,MATCH($B158,rngYear,0),MATCH(OFFSET(E158,-$A158,0),rngColumnNames,0)),"")</f>
        <v>102.037678</v>
      </c>
      <c r="F158" s="11">
        <f>IFERROR(INDEX(rngData,MATCH($B158,rngYear,0),MATCH(OFFSET(F158,-$A158,0),rngColumnNames,0)),"")</f>
        <v>117.096151</v>
      </c>
      <c r="G158" s="11">
        <f t="shared" si="8"/>
        <v>15.058473000000006</v>
      </c>
    </row>
    <row r="159">
      <c r="A159" s="9">
        <f t="shared" si="9"/>
        <v>25</v>
      </c>
      <c r="B159" s="10">
        <f>IF(INDEX(rngYear,A159+1)&lt;&gt;0,INDEX(rngYear,A159+1),"")</f>
        <v>2004</v>
      </c>
      <c r="C159" s="11">
        <f>IFERROR(INDEX(rngData,MATCH($B159,rngYear,0),MATCH(OFFSET(C159,-$A159,0),rngColumnNames,0)),"")</f>
        <v>143</v>
      </c>
      <c r="D159" s="11">
        <f>IFERROR(INDEX(rngData,MATCH($B159,rngYear,0),MATCH(OFFSET(D159,-$A159,0),rngColumnNames,0)),"")</f>
        <v>121.028537</v>
      </c>
      <c r="E159" s="11">
        <f>IFERROR(INDEX(rngData,MATCH($B159,rngYear,0),MATCH(OFFSET(E159,-$A159,0),rngColumnNames,0)),"")</f>
        <v>112.281068</v>
      </c>
      <c r="F159" s="11">
        <f>IFERROR(INDEX(rngData,MATCH($B159,rngYear,0),MATCH(OFFSET(F159,-$A159,0),rngColumnNames,0)),"")</f>
        <v>128.725914</v>
      </c>
      <c r="G159" s="11">
        <f t="shared" si="8"/>
        <v>16.444845999999984</v>
      </c>
    </row>
    <row r="160">
      <c r="A160" s="9">
        <f t="shared" si="9"/>
        <v>26</v>
      </c>
      <c r="B160" s="10">
        <f>IF(INDEX(rngYear,A160+1)&lt;&gt;0,INDEX(rngYear,A160+1),"")</f>
        <v>2005</v>
      </c>
      <c r="C160" s="11">
        <f>IFERROR(INDEX(rngData,MATCH($B160,rngYear,0),MATCH(OFFSET(C160,-$A160,0),rngColumnNames,0)),"")</f>
        <v>149</v>
      </c>
      <c r="D160" s="11">
        <f>IFERROR(INDEX(rngData,MATCH($B160,rngYear,0),MATCH(OFFSET(D160,-$A160,0),rngColumnNames,0)),"")</f>
        <v>129.284109</v>
      </c>
      <c r="E160" s="11">
        <f>IFERROR(INDEX(rngData,MATCH($B160,rngYear,0),MATCH(OFFSET(E160,-$A160,0),rngColumnNames,0)),"")</f>
        <v>121.951193</v>
      </c>
      <c r="F160" s="11">
        <f>IFERROR(INDEX(rngData,MATCH($B160,rngYear,0),MATCH(OFFSET(F160,-$A160,0),rngColumnNames,0)),"")</f>
        <v>137.185572</v>
      </c>
      <c r="G160" s="11">
        <f t="shared" si="8"/>
        <v>15.234379000000004</v>
      </c>
    </row>
    <row r="161">
      <c r="A161" s="9">
        <f t="shared" si="9"/>
        <v>27</v>
      </c>
      <c r="B161" s="10">
        <f>IF(INDEX(rngYear,A161+1)&lt;&gt;0,INDEX(rngYear,A161+1),"")</f>
        <v>2006</v>
      </c>
      <c r="C161" s="11">
        <f>IFERROR(INDEX(rngData,MATCH($B161,rngYear,0),MATCH(OFFSET(C161,-$A161,0),rngColumnNames,0)),"")</f>
        <v>146</v>
      </c>
      <c r="D161" s="11">
        <f>IFERROR(INDEX(rngData,MATCH($B161,rngYear,0),MATCH(OFFSET(D161,-$A161,0),rngColumnNames,0)),"")</f>
        <v>137.667999</v>
      </c>
      <c r="E161" s="11">
        <f>IFERROR(INDEX(rngData,MATCH($B161,rngYear,0),MATCH(OFFSET(E161,-$A161,0),rngColumnNames,0)),"")</f>
        <v>127.566474</v>
      </c>
      <c r="F161" s="11">
        <f>IFERROR(INDEX(rngData,MATCH($B161,rngYear,0),MATCH(OFFSET(F161,-$A161,0),rngColumnNames,0)),"")</f>
        <v>144.158271</v>
      </c>
      <c r="G161" s="11">
        <f t="shared" si="8"/>
        <v>16.591797000000014</v>
      </c>
    </row>
    <row r="162">
      <c r="A162" s="9">
        <f t="shared" si="9"/>
        <v>28</v>
      </c>
      <c r="B162" s="10">
        <f>IF(INDEX(rngYear,A162+1)&lt;&gt;0,INDEX(rngYear,A162+1),"")</f>
        <v>2007</v>
      </c>
      <c r="C162" s="11">
        <f>IFERROR(INDEX(rngData,MATCH($B162,rngYear,0),MATCH(OFFSET(C162,-$A162,0),rngColumnNames,0)),"")</f>
        <v>162</v>
      </c>
      <c r="D162" s="11">
        <f>IFERROR(INDEX(rngData,MATCH($B162,rngYear,0),MATCH(OFFSET(D162,-$A162,0),rngColumnNames,0)),"")</f>
        <v>144.473633</v>
      </c>
      <c r="E162" s="11">
        <f>IFERROR(INDEX(rngData,MATCH($B162,rngYear,0),MATCH(OFFSET(E162,-$A162,0),rngColumnNames,0)),"")</f>
        <v>135.543692</v>
      </c>
      <c r="F162" s="11">
        <f>IFERROR(INDEX(rngData,MATCH($B162,rngYear,0),MATCH(OFFSET(F162,-$A162,0),rngColumnNames,0)),"")</f>
        <v>152.233276</v>
      </c>
      <c r="G162" s="11">
        <f t="shared" si="8"/>
        <v>16.689583999999996</v>
      </c>
    </row>
    <row r="163">
      <c r="A163" s="9">
        <f t="shared" si="9"/>
        <v>29</v>
      </c>
      <c r="B163" s="10">
        <f>IF(INDEX(rngYear,A163+1)&lt;&gt;0,INDEX(rngYear,A163+1),"")</f>
        <v>2008</v>
      </c>
      <c r="C163" s="11">
        <f>IFERROR(INDEX(rngData,MATCH($B163,rngYear,0),MATCH(OFFSET(C163,-$A163,0),rngColumnNames,0)),"")</f>
        <v>164</v>
      </c>
      <c r="D163" s="11">
        <f>IFERROR(INDEX(rngData,MATCH($B163,rngYear,0),MATCH(OFFSET(D163,-$A163,0),rngColumnNames,0)),"")</f>
        <v>179.489378</v>
      </c>
      <c r="E163" s="11">
        <f>IFERROR(INDEX(rngData,MATCH($B163,rngYear,0),MATCH(OFFSET(E163,-$A163,0),rngColumnNames,0)),"")</f>
        <v>169.1877</v>
      </c>
      <c r="F163" s="11">
        <f>IFERROR(INDEX(rngData,MATCH($B163,rngYear,0),MATCH(OFFSET(F163,-$A163,0),rngColumnNames,0)),"")</f>
        <v>188.319324</v>
      </c>
      <c r="G163" s="11">
        <f t="shared" si="8"/>
        <v>19.131623999999988</v>
      </c>
    </row>
    <row r="164">
      <c r="A164" s="9">
        <f t="shared" si="9"/>
        <v>30</v>
      </c>
      <c r="B164" s="10">
        <f>IF(INDEX(rngYear,A164+1)&lt;&gt;0,INDEX(rngYear,A164+1),"")</f>
        <v>2009</v>
      </c>
      <c r="C164" s="11">
        <f>IFERROR(INDEX(rngData,MATCH($B164,rngYear,0),MATCH(OFFSET(C164,-$A164,0),rngColumnNames,0)),"")</f>
        <v>174</v>
      </c>
      <c r="D164" s="11">
        <f>IFERROR(INDEX(rngData,MATCH($B164,rngYear,0),MATCH(OFFSET(D164,-$A164,0),rngColumnNames,0)),"")</f>
        <v>181.705433</v>
      </c>
      <c r="E164" s="11">
        <f>IFERROR(INDEX(rngData,MATCH($B164,rngYear,0),MATCH(OFFSET(E164,-$A164,0),rngColumnNames,0)),"")</f>
        <v>171.441811</v>
      </c>
      <c r="F164" s="11">
        <f>IFERROR(INDEX(rngData,MATCH($B164,rngYear,0),MATCH(OFFSET(F164,-$A164,0),rngColumnNames,0)),"")</f>
        <v>190.084043</v>
      </c>
      <c r="G164" s="11">
        <f t="shared" si="8"/>
        <v>18.642232000000007</v>
      </c>
    </row>
    <row r="165">
      <c r="A165" s="9">
        <f t="shared" si="9"/>
        <v>31</v>
      </c>
      <c r="B165" s="10">
        <f>IF(INDEX(rngYear,A165+1)&lt;&gt;0,INDEX(rngYear,A165+1),"")</f>
        <v>2010</v>
      </c>
      <c r="C165" s="11">
        <f>IFERROR(INDEX(rngData,MATCH($B165,rngYear,0),MATCH(OFFSET(C165,-$A165,0),rngColumnNames,0)),"")</f>
        <v>159</v>
      </c>
      <c r="D165" s="11">
        <f>IFERROR(INDEX(rngData,MATCH($B165,rngYear,0),MATCH(OFFSET(D165,-$A165,0),rngColumnNames,0)),"")</f>
        <v>196.997036</v>
      </c>
      <c r="E165" s="11">
        <f>IFERROR(INDEX(rngData,MATCH($B165,rngYear,0),MATCH(OFFSET(E165,-$A165,0),rngColumnNames,0)),"")</f>
        <v>186.638334</v>
      </c>
      <c r="F165" s="11">
        <f>IFERROR(INDEX(rngData,MATCH($B165,rngYear,0),MATCH(OFFSET(F165,-$A165,0),rngColumnNames,0)),"")</f>
        <v>207.62134</v>
      </c>
      <c r="G165" s="11">
        <f t="shared" si="8"/>
        <v>20.983006000000017</v>
      </c>
    </row>
    <row r="166">
      <c r="A166" s="9">
        <f t="shared" si="9"/>
        <v>32</v>
      </c>
      <c r="B166" s="10">
        <f>IF(INDEX(rngYear,A166+1)&lt;&gt;0,INDEX(rngYear,A166+1),"")</f>
        <v>2011</v>
      </c>
      <c r="C166" s="11">
        <f>IFERROR(INDEX(rngData,MATCH($B166,rngYear,0),MATCH(OFFSET(C166,-$A166,0),rngColumnNames,0)),"")</f>
        <v>180</v>
      </c>
      <c r="D166" s="11">
        <f>IFERROR(INDEX(rngData,MATCH($B166,rngYear,0),MATCH(OFFSET(D166,-$A166,0),rngColumnNames,0)),"")</f>
        <v>192.376985</v>
      </c>
      <c r="E166" s="11">
        <f>IFERROR(INDEX(rngData,MATCH($B166,rngYear,0),MATCH(OFFSET(E166,-$A166,0),rngColumnNames,0)),"")</f>
        <v>180.884013</v>
      </c>
      <c r="F166" s="11">
        <f>IFERROR(INDEX(rngData,MATCH($B166,rngYear,0),MATCH(OFFSET(F166,-$A166,0),rngColumnNames,0)),"")</f>
        <v>205.345266</v>
      </c>
      <c r="G166" s="11">
        <f t="shared" si="8"/>
        <v>24.461253</v>
      </c>
    </row>
    <row r="167">
      <c r="A167" s="9">
        <f t="shared" si="9"/>
        <v>33</v>
      </c>
      <c r="B167" s="10">
        <f>IF(INDEX(rngYear,A167+1)&lt;&gt;0,INDEX(rngYear,A167+1),"")</f>
        <v>2012</v>
      </c>
      <c r="C167" s="11">
        <f>IFERROR(INDEX(rngData,MATCH($B167,rngYear,0),MATCH(OFFSET(C167,-$A167,0),rngColumnNames,0)),"")</f>
        <v>176</v>
      </c>
      <c r="D167" s="11">
        <f>IFERROR(INDEX(rngData,MATCH($B167,rngYear,0),MATCH(OFFSET(D167,-$A167,0),rngColumnNames,0)),"")</f>
        <v>179.684568</v>
      </c>
      <c r="E167" s="11">
        <f>IFERROR(INDEX(rngData,MATCH($B167,rngYear,0),MATCH(OFFSET(E167,-$A167,0),rngColumnNames,0)),"")</f>
        <v>169.003055</v>
      </c>
      <c r="F167" s="11">
        <f>IFERROR(INDEX(rngData,MATCH($B167,rngYear,0),MATCH(OFFSET(F167,-$A167,0),rngColumnNames,0)),"")</f>
        <v>191.812579</v>
      </c>
      <c r="G167" s="11">
        <f ref="G167:G194" t="shared" si="10">IFERROR(F167-E167,"")</f>
        <v>22.80952400000001</v>
      </c>
    </row>
    <row r="168" hidden="1">
      <c r="A168" s="9">
        <f ref="A168:A194" t="shared" si="11">A167+1</f>
        <v>34</v>
      </c>
      <c r="B168" s="10">
        <f>IF(INDEX(rngYear,A168+1)&lt;&gt;0,INDEX(rngYear,A168+1),"")</f>
        <v>2013</v>
      </c>
      <c r="C168" s="11">
        <f>IFERROR(INDEX(rngData,MATCH($B168,rngYear,0),MATCH(OFFSET(C168,-$A168,0),rngColumnNames,0)),"")</f>
        <v>191</v>
      </c>
      <c r="D168" s="11">
        <f>IFERROR(INDEX(rngData,MATCH($B168,rngYear,0),MATCH(OFFSET(D168,-$A168,0),rngColumnNames,0)),"")</f>
        <v>191.442204</v>
      </c>
      <c r="E168" s="11">
        <f>IFERROR(INDEX(rngData,MATCH($B168,rngYear,0),MATCH(OFFSET(E168,-$A168,0),rngColumnNames,0)),"")</f>
        <v>181.366908</v>
      </c>
      <c r="F168" s="11">
        <f>IFERROR(INDEX(rngData,MATCH($B168,rngYear,0),MATCH(OFFSET(F168,-$A168,0),rngColumnNames,0)),"")</f>
        <v>202.623672</v>
      </c>
      <c r="G168" s="11">
        <f t="shared" si="10"/>
        <v>21.256764000000004</v>
      </c>
    </row>
    <row r="169" hidden="1">
      <c r="A169" s="9">
        <f t="shared" si="11"/>
        <v>35</v>
      </c>
      <c r="B169" s="10">
        <f>IF(INDEX(rngYear,A169+1)&lt;&gt;0,INDEX(rngYear,A169+1),"")</f>
        <v>2014</v>
      </c>
      <c r="C169" s="11">
        <f>IFERROR(INDEX(rngData,MATCH($B169,rngYear,0),MATCH(OFFSET(C169,-$A169,0),rngColumnNames,0)),"")</f>
        <v>193</v>
      </c>
      <c r="D169" s="11">
        <f>IFERROR(INDEX(rngData,MATCH($B169,rngYear,0),MATCH(OFFSET(D169,-$A169,0),rngColumnNames,0)),"")</f>
        <v>210.752323</v>
      </c>
      <c r="E169" s="11">
        <f>IFERROR(INDEX(rngData,MATCH($B169,rngYear,0),MATCH(OFFSET(E169,-$A169,0),rngColumnNames,0)),"")</f>
        <v>200.37051</v>
      </c>
      <c r="F169" s="11">
        <f>IFERROR(INDEX(rngData,MATCH($B169,rngYear,0),MATCH(OFFSET(F169,-$A169,0),rngColumnNames,0)),"")</f>
        <v>220.96138</v>
      </c>
      <c r="G169" s="11">
        <f t="shared" si="10"/>
        <v>20.590869999999995</v>
      </c>
    </row>
    <row r="170" hidden="1">
      <c r="A170" s="9">
        <f t="shared" si="11"/>
        <v>36</v>
      </c>
      <c r="B170" s="10">
        <f>IF(INDEX(rngYear,A170+1)&lt;&gt;0,INDEX(rngYear,A170+1),"")</f>
        <v>2015</v>
      </c>
      <c r="C170" s="11">
        <f>IFERROR(INDEX(rngData,MATCH($B170,rngYear,0),MATCH(OFFSET(C170,-$A170,0),rngColumnNames,0)),"")</f>
        <v>166</v>
      </c>
      <c r="D170" s="11">
        <f>IFERROR(INDEX(rngData,MATCH($B170,rngYear,0),MATCH(OFFSET(D170,-$A170,0),rngColumnNames,0)),"")</f>
        <v>188.626494</v>
      </c>
      <c r="E170" s="11">
        <f>IFERROR(INDEX(rngData,MATCH($B170,rngYear,0),MATCH(OFFSET(E170,-$A170,0),rngColumnNames,0)),"")</f>
        <v>178.510049</v>
      </c>
      <c r="F170" s="11">
        <f>IFERROR(INDEX(rngData,MATCH($B170,rngYear,0),MATCH(OFFSET(F170,-$A170,0),rngColumnNames,0)),"")</f>
        <v>197.834074</v>
      </c>
      <c r="G170" s="11">
        <f t="shared" si="10"/>
        <v>19.324024999999978</v>
      </c>
    </row>
    <row r="171" hidden="1">
      <c r="A171" s="9">
        <f t="shared" si="11"/>
        <v>37</v>
      </c>
      <c r="B171" s="10">
        <f>IF(INDEX(rngYear,A171+1)&lt;&gt;0,INDEX(rngYear,A171+1),"")</f>
        <v>2016</v>
      </c>
      <c r="C171" s="11">
        <f>IFERROR(INDEX(rngData,MATCH($B171,rngYear,0),MATCH(OFFSET(C171,-$A171,0),rngColumnNames,0)),"")</f>
        <v>143</v>
      </c>
      <c r="D171" s="11">
        <f>IFERROR(INDEX(rngData,MATCH($B171,rngYear,0),MATCH(OFFSET(D171,-$A171,0),rngColumnNames,0)),"")</f>
        <v>152.818479</v>
      </c>
      <c r="E171" s="11">
        <f>IFERROR(INDEX(rngData,MATCH($B171,rngYear,0),MATCH(OFFSET(E171,-$A171,0),rngColumnNames,0)),"")</f>
        <v>142.157949</v>
      </c>
      <c r="F171" s="11">
        <f>IFERROR(INDEX(rngData,MATCH($B171,rngYear,0),MATCH(OFFSET(F171,-$A171,0),rngColumnNames,0)),"")</f>
        <v>160.990468</v>
      </c>
      <c r="G171" s="11">
        <f t="shared" si="10"/>
        <v>18.832518999999991</v>
      </c>
    </row>
    <row r="172" hidden="1">
      <c r="A172" s="9">
        <f t="shared" si="11"/>
        <v>38</v>
      </c>
      <c r="B172" s="10">
        <f>IF(INDEX(rngYear,A172+1)&lt;&gt;0,INDEX(rngYear,A172+1),"")</f>
        <v>2017</v>
      </c>
      <c r="C172" s="11">
        <f>IFERROR(INDEX(rngData,MATCH($B172,rngYear,0),MATCH(OFFSET(C172,-$A172,0),rngColumnNames,0)),"")</f>
        <v>176</v>
      </c>
      <c r="D172" s="11">
        <f>IFERROR(INDEX(rngData,MATCH($B172,rngYear,0),MATCH(OFFSET(D172,-$A172,0),rngColumnNames,0)),"")</f>
        <v>158.209952</v>
      </c>
      <c r="E172" s="11">
        <f>IFERROR(INDEX(rngData,MATCH($B172,rngYear,0),MATCH(OFFSET(E172,-$A172,0),rngColumnNames,0)),"")</f>
        <v>143.996743</v>
      </c>
      <c r="F172" s="11">
        <f>IFERROR(INDEX(rngData,MATCH($B172,rngYear,0),MATCH(OFFSET(F172,-$A172,0),rngColumnNames,0)),"")</f>
        <v>169.899824</v>
      </c>
      <c r="G172" s="11">
        <f t="shared" si="10"/>
        <v>25.903080999999986</v>
      </c>
    </row>
    <row r="173" hidden="1">
      <c r="A173" s="9">
        <f t="shared" si="11"/>
        <v>39</v>
      </c>
      <c r="B173" s="10">
        <f>IF(INDEX(rngYear,A173+1)&lt;&gt;0,INDEX(rngYear,A173+1),"")</f>
        <v>2018</v>
      </c>
      <c r="C173" s="11">
        <f>IFERROR(INDEX(rngData,MATCH($B173,rngYear,0),MATCH(OFFSET(C173,-$A173,0),rngColumnNames,0)),"")</f>
        <v>136</v>
      </c>
      <c r="D173" s="11">
        <f>IFERROR(INDEX(rngData,MATCH($B173,rngYear,0),MATCH(OFFSET(D173,-$A173,0),rngColumnNames,0)),"")</f>
        <v>143.905467</v>
      </c>
      <c r="E173" s="11">
        <f>IFERROR(INDEX(rngData,MATCH($B173,rngYear,0),MATCH(OFFSET(E173,-$A173,0),rngColumnNames,0)),"")</f>
        <v>129.846962</v>
      </c>
      <c r="F173" s="11">
        <f>IFERROR(INDEX(rngData,MATCH($B173,rngYear,0),MATCH(OFFSET(F173,-$A173,0),rngColumnNames,0)),"")</f>
        <v>156.942115</v>
      </c>
      <c r="G173" s="11">
        <f t="shared" si="10"/>
        <v>27.09515300000001</v>
      </c>
    </row>
    <row r="174" hidden="1">
      <c r="A174" s="9">
        <f t="shared" si="11"/>
        <v>40</v>
      </c>
      <c r="B174" s="10">
        <f>IF(INDEX(rngYear,A174+1)&lt;&gt;0,INDEX(rngYear,A174+1),"")</f>
        <v>2019</v>
      </c>
      <c r="C174" s="11">
        <f>IFERROR(INDEX(rngData,MATCH($B174,rngYear,0),MATCH(OFFSET(C174,-$A174,0),rngColumnNames,0)),"")</f>
        <v>151</v>
      </c>
      <c r="D174" s="11">
        <f>IFERROR(INDEX(rngData,MATCH($B174,rngYear,0),MATCH(OFFSET(D174,-$A174,0),rngColumnNames,0)),"")</f>
        <v>119.679602</v>
      </c>
      <c r="E174" s="11">
        <f>IFERROR(INDEX(rngData,MATCH($B174,rngYear,0),MATCH(OFFSET(E174,-$A174,0),rngColumnNames,0)),"")</f>
        <v>106.190566</v>
      </c>
      <c r="F174" s="11">
        <f>IFERROR(INDEX(rngData,MATCH($B174,rngYear,0),MATCH(OFFSET(F174,-$A174,0),rngColumnNames,0)),"")</f>
        <v>132.837626</v>
      </c>
      <c r="G174" s="11">
        <f t="shared" si="10"/>
        <v>26.647059999999996</v>
      </c>
    </row>
    <row r="175" hidden="1">
      <c r="A175" s="9">
        <f t="shared" si="11"/>
        <v>41</v>
      </c>
      <c r="B175" s="10">
        <f>IF(INDEX(rngYear,A175+1)&lt;&gt;0,INDEX(rngYear,A175+1),"")</f>
        <v>2020</v>
      </c>
      <c r="C175" s="11">
        <f>IFERROR(INDEX(rngData,MATCH($B175,rngYear,0),MATCH(OFFSET(C175,-$A175,0),rngColumnNames,0)),"")</f>
        <v>75</v>
      </c>
      <c r="D175" s="11">
        <f>IFERROR(INDEX(rngData,MATCH($B175,rngYear,0),MATCH(OFFSET(D175,-$A175,0),rngColumnNames,0)),"")</f>
        <v>86.984743</v>
      </c>
      <c r="E175" s="11">
        <f>IFERROR(INDEX(rngData,MATCH($B175,rngYear,0),MATCH(OFFSET(E175,-$A175,0),rngColumnNames,0)),"")</f>
        <v>73.330636</v>
      </c>
      <c r="F175" s="11">
        <f>IFERROR(INDEX(rngData,MATCH($B175,rngYear,0),MATCH(OFFSET(F175,-$A175,0),rngColumnNames,0)),"")</f>
        <v>100.85106</v>
      </c>
      <c r="G175" s="11">
        <f t="shared" si="10"/>
        <v>27.520424000000006</v>
      </c>
    </row>
    <row r="176" hidden="1">
      <c r="A176" s="9">
        <f t="shared" si="11"/>
        <v>42</v>
      </c>
      <c r="B176" s="10">
        <f>IF(INDEX(rngYear,A176+1)&lt;&gt;0,INDEX(rngYear,A176+1),"")</f>
        <v>2021</v>
      </c>
      <c r="C176" s="11">
        <f>IFERROR(INDEX(rngData,MATCH($B176,rngYear,0),MATCH(OFFSET(C176,-$A176,0),rngColumnNames,0)),"")</f>
        <v>79</v>
      </c>
      <c r="D176" s="11">
        <f>IFERROR(INDEX(rngData,MATCH($B176,rngYear,0),MATCH(OFFSET(D176,-$A176,0),rngColumnNames,0)),"")</f>
        <v>70.869106</v>
      </c>
      <c r="E176" s="11">
        <f>IFERROR(INDEX(rngData,MATCH($B176,rngYear,0),MATCH(OFFSET(E176,-$A176,0),rngColumnNames,0)),"")</f>
        <v>55.037419</v>
      </c>
      <c r="F176" s="11">
        <f>IFERROR(INDEX(rngData,MATCH($B176,rngYear,0),MATCH(OFFSET(F176,-$A176,0),rngColumnNames,0)),"")</f>
        <v>85.864119</v>
      </c>
      <c r="G176" s="11">
        <f t="shared" si="10"/>
        <v>30.826700000000002</v>
      </c>
    </row>
    <row r="177" hidden="1">
      <c r="A177" s="9">
        <f t="shared" si="11"/>
        <v>43</v>
      </c>
      <c r="B177" s="10">
        <f>IF(INDEX(rngYear,A177+1)&lt;&gt;0,INDEX(rngYear,A177+1),"")</f>
        <v>2022</v>
      </c>
      <c r="C177" s="11">
        <f>IFERROR(INDEX(rngData,MATCH($B177,rngYear,0),MATCH(OFFSET(C177,-$A177,0),rngColumnNames,0)),"")</f>
        <v>79</v>
      </c>
      <c r="D177" s="11">
        <f>IFERROR(INDEX(rngData,MATCH($B177,rngYear,0),MATCH(OFFSET(D177,-$A177,0),rngColumnNames,0)),"")</f>
        <v>82.841476</v>
      </c>
      <c r="E177" s="11">
        <f>IFERROR(INDEX(rngData,MATCH($B177,rngYear,0),MATCH(OFFSET(E177,-$A177,0),rngColumnNames,0)),"")</f>
        <v>68.000645</v>
      </c>
      <c r="F177" s="11">
        <f>IFERROR(INDEX(rngData,MATCH($B177,rngYear,0),MATCH(OFFSET(F177,-$A177,0),rngColumnNames,0)),"")</f>
        <v>102.446841</v>
      </c>
      <c r="G177" s="11">
        <f t="shared" si="10"/>
        <v>34.446196</v>
      </c>
    </row>
    <row r="178" hidden="1">
      <c r="A178" s="9">
        <f t="shared" si="11"/>
        <v>44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>IFERROR(INDEX(rngData,MATCH($B178,rngYear,0),MATCH(OFFSET(F178,-$A178,0),rngColumnNames,0)),"")</f>
      </c>
      <c r="G178" s="11">
        <f t="shared" si="10"/>
      </c>
    </row>
    <row r="179" hidden="1">
      <c r="A179" s="9">
        <f t="shared" si="11"/>
        <v>45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>IFERROR(INDEX(rngData,MATCH($B179,rngYear,0),MATCH(OFFSET(F179,-$A179,0),rngColumnNames,0)),"")</f>
      </c>
      <c r="G179" s="11">
        <f t="shared" si="10"/>
      </c>
    </row>
    <row r="180" hidden="1">
      <c r="A180" s="9">
        <f t="shared" si="11"/>
        <v>46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>IFERROR(INDEX(rngData,MATCH($B180,rngYear,0),MATCH(OFFSET(F180,-$A180,0),rngColumnNames,0)),"")</f>
      </c>
      <c r="G180" s="11">
        <f t="shared" si="10"/>
      </c>
    </row>
    <row r="181" hidden="1">
      <c r="A181" s="9">
        <f t="shared" si="11"/>
        <v>47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>IFERROR(INDEX(rngData,MATCH($B181,rngYear,0),MATCH(OFFSET(F181,-$A181,0),rngColumnNames,0)),"")</f>
      </c>
      <c r="G181" s="11">
        <f t="shared" si="10"/>
      </c>
    </row>
    <row r="182" hidden="1">
      <c r="A182" s="9">
        <f t="shared" si="11"/>
        <v>48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>IFERROR(INDEX(rngData,MATCH($B182,rngYear,0),MATCH(OFFSET(F182,-$A182,0),rngColumnNames,0)),"")</f>
      </c>
      <c r="G182" s="11">
        <f t="shared" si="10"/>
      </c>
    </row>
    <row r="183" hidden="1">
      <c r="A183" s="9">
        <f t="shared" si="11"/>
        <v>49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>IFERROR(INDEX(rngData,MATCH($B183,rngYear,0),MATCH(OFFSET(F183,-$A183,0),rngColumnNames,0)),"")</f>
      </c>
      <c r="G183" s="11">
        <f t="shared" si="10"/>
      </c>
    </row>
    <row r="184" hidden="1">
      <c r="A184" s="9">
        <f t="shared" si="11"/>
        <v>50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>IFERROR(INDEX(rngData,MATCH($B184,rngYear,0),MATCH(OFFSET(F184,-$A184,0),rngColumnNames,0)),"")</f>
      </c>
      <c r="G184" s="11">
        <f t="shared" si="10"/>
      </c>
    </row>
    <row r="185" hidden="1">
      <c r="A185" s="9">
        <f t="shared" si="11"/>
        <v>51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>IFERROR(INDEX(rngData,MATCH($B185,rngYear,0),MATCH(OFFSET(F185,-$A185,0),rngColumnNames,0)),"")</f>
      </c>
      <c r="G185" s="11">
        <f t="shared" si="10"/>
      </c>
    </row>
    <row r="186" hidden="1">
      <c r="A186" s="9">
        <f t="shared" si="11"/>
        <v>52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>IFERROR(INDEX(rngData,MATCH($B186,rngYear,0),MATCH(OFFSET(F186,-$A186,0),rngColumnNames,0)),"")</f>
      </c>
      <c r="G186" s="11">
        <f t="shared" si="10"/>
      </c>
    </row>
    <row r="187" hidden="1">
      <c r="A187" s="9">
        <f t="shared" si="11"/>
        <v>53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>IFERROR(INDEX(rngData,MATCH($B187,rngYear,0),MATCH(OFFSET(F187,-$A187,0),rngColumnNames,0)),"")</f>
      </c>
      <c r="G187" s="11">
        <f t="shared" si="10"/>
      </c>
    </row>
    <row r="188" hidden="1">
      <c r="A188" s="9">
        <f t="shared" si="11"/>
        <v>54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>IFERROR(INDEX(rngData,MATCH($B188,rngYear,0),MATCH(OFFSET(F188,-$A188,0),rngColumnNames,0)),"")</f>
      </c>
      <c r="G188" s="11">
        <f t="shared" si="10"/>
      </c>
    </row>
    <row r="189" hidden="1">
      <c r="A189" s="9">
        <f t="shared" si="11"/>
        <v>55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>IFERROR(INDEX(rngData,MATCH($B189,rngYear,0),MATCH(OFFSET(F189,-$A189,0),rngColumnNames,0)),"")</f>
      </c>
      <c r="G189" s="11">
        <f t="shared" si="10"/>
      </c>
    </row>
    <row r="190" hidden="1">
      <c r="A190" s="9">
        <f t="shared" si="11"/>
        <v>56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>IFERROR(INDEX(rngData,MATCH($B190,rngYear,0),MATCH(OFFSET(F190,-$A190,0),rngColumnNames,0)),"")</f>
      </c>
      <c r="G190" s="11">
        <f t="shared" si="10"/>
      </c>
    </row>
    <row r="191" hidden="1">
      <c r="A191" s="9">
        <f t="shared" si="11"/>
        <v>57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>IFERROR(INDEX(rngData,MATCH($B191,rngYear,0),MATCH(OFFSET(F191,-$A191,0),rngColumnNames,0)),"")</f>
      </c>
      <c r="G191" s="11">
        <f t="shared" si="10"/>
      </c>
    </row>
    <row r="192" hidden="1">
      <c r="A192" s="9">
        <f t="shared" si="11"/>
        <v>58</v>
      </c>
      <c r="B192" s="10">
        <f>IF(INDEX(rngYear,A192+1)&lt;&gt;0,INDEX(rngYear,A192+1),"")</f>
      </c>
      <c r="C192" s="11">
        <f>IFERROR(INDEX(rngData,MATCH($B192,rngYear,0),MATCH(OFFSET(C192,-$A192,0),rngColumnNames,0)),"")</f>
      </c>
      <c r="D192" s="11">
        <f>IFERROR(INDEX(rngData,MATCH($B192,rngYear,0),MATCH(OFFSET(D192,-$A192,0),rngColumnNames,0)),"")</f>
      </c>
      <c r="E192" s="11">
        <f>IFERROR(INDEX(rngData,MATCH($B192,rngYear,0),MATCH(OFFSET(E192,-$A192,0),rngColumnNames,0)),"")</f>
      </c>
      <c r="F192" s="11">
        <f>IFERROR(INDEX(rngData,MATCH($B192,rngYear,0),MATCH(OFFSET(F192,-$A192,0),rngColumnNames,0)),"")</f>
      </c>
      <c r="G192" s="11">
        <f t="shared" si="10"/>
      </c>
    </row>
    <row r="193" hidden="1">
      <c r="A193" s="9">
        <f t="shared" si="11"/>
        <v>59</v>
      </c>
      <c r="B193" s="10">
        <f>IF(INDEX(rngYear,A193+1)&lt;&gt;0,INDEX(rngYear,A193+1),"")</f>
      </c>
      <c r="C193" s="11">
        <f>IFERROR(INDEX(rngData,MATCH($B193,rngYear,0),MATCH(OFFSET(C193,-$A193,0),rngColumnNames,0)),"")</f>
      </c>
      <c r="D193" s="11">
        <f>IFERROR(INDEX(rngData,MATCH($B193,rngYear,0),MATCH(OFFSET(D193,-$A193,0),rngColumnNames,0)),"")</f>
      </c>
      <c r="E193" s="11">
        <f>IFERROR(INDEX(rngData,MATCH($B193,rngYear,0),MATCH(OFFSET(E193,-$A193,0),rngColumnNames,0)),"")</f>
      </c>
      <c r="F193" s="11">
        <f>IFERROR(INDEX(rngData,MATCH($B193,rngYear,0),MATCH(OFFSET(F193,-$A193,0),rngColumnNames,0)),"")</f>
      </c>
      <c r="G193" s="11">
        <f t="shared" si="10"/>
      </c>
    </row>
    <row r="194" hidden="1">
      <c r="A194" s="9">
        <f t="shared" si="11"/>
        <v>60</v>
      </c>
      <c r="B194" s="10">
        <f>IF(INDEX(rngYear,A194+1)&lt;&gt;0,INDEX(rngYear,A194+1),"")</f>
      </c>
      <c r="C194" s="11">
        <f>IFERROR(INDEX(rngData,MATCH($B194,rngYear,0),MATCH(OFFSET(C194,-$A194,0),rngColumnNames,0)),"")</f>
      </c>
      <c r="D194" s="11">
        <f>IFERROR(INDEX(rngData,MATCH($B194,rngYear,0),MATCH(OFFSET(D194,-$A194,0),rngColumnNames,0)),"")</f>
      </c>
      <c r="E194" s="11">
        <f>IFERROR(INDEX(rngData,MATCH($B194,rngYear,0),MATCH(OFFSET(E194,-$A194,0),rngColumnNames,0)),"")</f>
      </c>
      <c r="F194" s="11">
        <f>IFERROR(INDEX(rngData,MATCH($B194,rngYear,0),MATCH(OFFSET(F194,-$A194,0),rngColumnNames,0)),"")</f>
      </c>
      <c r="G194" s="11">
        <f t="shared" si="10"/>
      </c>
    </row>
    <row r="196" ht="19.5" customHeight="1">
      <c r="A196" s="16" t="s">
        <v>20</v>
      </c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</row>
    <row r="197" ht="15" customHeight="1">
      <c r="B197" s="4"/>
      <c r="C197" s="5" t="s">
        <v>1</v>
      </c>
      <c r="D197" s="5" t="s">
        <v>2</v>
      </c>
      <c r="E197" s="17" t="s">
        <v>3</v>
      </c>
      <c r="F197" s="18"/>
      <c r="G197" s="19"/>
    </row>
    <row r="198" ht="22.5" customHeight="1">
      <c r="A198" s="6" t="s">
        <v>4</v>
      </c>
      <c r="B198" s="7" t="s">
        <v>5</v>
      </c>
      <c r="C198" s="7" t="s">
        <v>21</v>
      </c>
      <c r="D198" s="7" t="s">
        <v>22</v>
      </c>
      <c r="E198" s="7" t="s">
        <v>23</v>
      </c>
      <c r="F198" s="7" t="s">
        <v>24</v>
      </c>
      <c r="G198" s="8" t="s">
        <v>3</v>
      </c>
    </row>
    <row r="199">
      <c r="A199" s="9">
        <v>1</v>
      </c>
      <c r="B199" s="10">
        <f>IF(INDEX(rngYear,A199+1)&lt;&gt;0,INDEX(rngYear,A199+1),"")</f>
        <v>1980</v>
      </c>
      <c r="C199" s="11">
        <f>IFERROR(INDEX(rngData,MATCH($B199,rngYear,0),MATCH(OFFSET(C199,-$A199,0),rngColumnNames,0)),"")</f>
        <v>0</v>
      </c>
      <c r="D199" s="11">
        <f>IFERROR(INDEX(rngData,MATCH($B199,rngYear,0),MATCH(OFFSET(D199,-$A199,0),rngColumnNames,0)),"")</f>
        <v>0</v>
      </c>
      <c r="E199" s="11">
        <f>IFERROR(INDEX(rngData,MATCH($B199,rngYear,0),MATCH(OFFSET(E199,-$A199,0),rngColumnNames,0)),"")</f>
        <v>0</v>
      </c>
      <c r="F199" s="11">
        <f>IFERROR(INDEX(rngData,MATCH($B199,rngYear,0),MATCH(OFFSET(F199,-$A199,0),rngColumnNames,0)),"")</f>
        <v>0</v>
      </c>
      <c r="G199" s="11">
        <f ref="G199:G230" t="shared" si="12">IFERROR(F199-E199,"")</f>
        <v>0</v>
      </c>
    </row>
    <row r="200">
      <c r="A200" s="9">
        <f ref="A200:A231" t="shared" si="13">A199+1</f>
        <v>2</v>
      </c>
      <c r="B200" s="10">
        <f>IF(INDEX(rngYear,A200+1)&lt;&gt;0,INDEX(rngYear,A200+1),"")</f>
        <v>1981</v>
      </c>
      <c r="C200" s="11">
        <f>IFERROR(INDEX(rngData,MATCH($B200,rngYear,0),MATCH(OFFSET(C200,-$A200,0),rngColumnNames,0)),"")</f>
        <v>0</v>
      </c>
      <c r="D200" s="11">
        <f>IFERROR(INDEX(rngData,MATCH($B200,rngYear,0),MATCH(OFFSET(D200,-$A200,0),rngColumnNames,0)),"")</f>
        <v>0</v>
      </c>
      <c r="E200" s="11">
        <f>IFERROR(INDEX(rngData,MATCH($B200,rngYear,0),MATCH(OFFSET(E200,-$A200,0),rngColumnNames,0)),"")</f>
        <v>0</v>
      </c>
      <c r="F200" s="11">
        <f>IFERROR(INDEX(rngData,MATCH($B200,rngYear,0),MATCH(OFFSET(F200,-$A200,0),rngColumnNames,0)),"")</f>
        <v>0</v>
      </c>
      <c r="G200" s="11">
        <f t="shared" si="12"/>
        <v>0</v>
      </c>
    </row>
    <row r="201">
      <c r="A201" s="9">
        <f t="shared" si="13"/>
        <v>3</v>
      </c>
      <c r="B201" s="10">
        <f>IF(INDEX(rngYear,A201+1)&lt;&gt;0,INDEX(rngYear,A201+1),"")</f>
        <v>1982</v>
      </c>
      <c r="C201" s="11">
        <f>IFERROR(INDEX(rngData,MATCH($B201,rngYear,0),MATCH(OFFSET(C201,-$A201,0),rngColumnNames,0)),"")</f>
        <v>0</v>
      </c>
      <c r="D201" s="11">
        <f>IFERROR(INDEX(rngData,MATCH($B201,rngYear,0),MATCH(OFFSET(D201,-$A201,0),rngColumnNames,0)),"")</f>
        <v>0</v>
      </c>
      <c r="E201" s="11">
        <f>IFERROR(INDEX(rngData,MATCH($B201,rngYear,0),MATCH(OFFSET(E201,-$A201,0),rngColumnNames,0)),"")</f>
        <v>0</v>
      </c>
      <c r="F201" s="11">
        <f>IFERROR(INDEX(rngData,MATCH($B201,rngYear,0),MATCH(OFFSET(F201,-$A201,0),rngColumnNames,0)),"")</f>
        <v>0</v>
      </c>
      <c r="G201" s="11">
        <f t="shared" si="12"/>
        <v>0</v>
      </c>
    </row>
    <row r="202">
      <c r="A202" s="9">
        <f t="shared" si="13"/>
        <v>4</v>
      </c>
      <c r="B202" s="10">
        <f>IF(INDEX(rngYear,A202+1)&lt;&gt;0,INDEX(rngYear,A202+1),"")</f>
        <v>1983</v>
      </c>
      <c r="C202" s="11">
        <f>IFERROR(INDEX(rngData,MATCH($B202,rngYear,0),MATCH(OFFSET(C202,-$A202,0),rngColumnNames,0)),"")</f>
        <v>0</v>
      </c>
      <c r="D202" s="11">
        <f>IFERROR(INDEX(rngData,MATCH($B202,rngYear,0),MATCH(OFFSET(D202,-$A202,0),rngColumnNames,0)),"")</f>
        <v>0</v>
      </c>
      <c r="E202" s="11">
        <f>IFERROR(INDEX(rngData,MATCH($B202,rngYear,0),MATCH(OFFSET(E202,-$A202,0),rngColumnNames,0)),"")</f>
        <v>0</v>
      </c>
      <c r="F202" s="11">
        <f>IFERROR(INDEX(rngData,MATCH($B202,rngYear,0),MATCH(OFFSET(F202,-$A202,0),rngColumnNames,0)),"")</f>
        <v>0</v>
      </c>
      <c r="G202" s="11">
        <f t="shared" si="12"/>
        <v>0</v>
      </c>
    </row>
    <row r="203">
      <c r="A203" s="9">
        <f t="shared" si="13"/>
        <v>5</v>
      </c>
      <c r="B203" s="10">
        <f>IF(INDEX(rngYear,A203+1)&lt;&gt;0,INDEX(rngYear,A203+1),"")</f>
        <v>1984</v>
      </c>
      <c r="C203" s="11">
        <f>IFERROR(INDEX(rngData,MATCH($B203,rngYear,0),MATCH(OFFSET(C203,-$A203,0),rngColumnNames,0)),"")</f>
        <v>8</v>
      </c>
      <c r="D203" s="11">
        <f>IFERROR(INDEX(rngData,MATCH($B203,rngYear,0),MATCH(OFFSET(D203,-$A203,0),rngColumnNames,0)),"")</f>
        <v>7.692874</v>
      </c>
      <c r="E203" s="11">
        <f>IFERROR(INDEX(rngData,MATCH($B203,rngYear,0),MATCH(OFFSET(E203,-$A203,0),rngColumnNames,0)),"")</f>
        <v>3.511687</v>
      </c>
      <c r="F203" s="11">
        <f>IFERROR(INDEX(rngData,MATCH($B203,rngYear,0),MATCH(OFFSET(F203,-$A203,0),rngColumnNames,0)),"")</f>
        <v>11.660137</v>
      </c>
      <c r="G203" s="11">
        <f t="shared" si="12"/>
        <v>8.14845</v>
      </c>
    </row>
    <row r="204">
      <c r="A204" s="9">
        <f t="shared" si="13"/>
        <v>6</v>
      </c>
      <c r="B204" s="10">
        <f>IF(INDEX(rngYear,A204+1)&lt;&gt;0,INDEX(rngYear,A204+1),"")</f>
        <v>1985</v>
      </c>
      <c r="C204" s="11">
        <f>IFERROR(INDEX(rngData,MATCH($B204,rngYear,0),MATCH(OFFSET(C204,-$A204,0),rngColumnNames,0)),"")</f>
        <v>26</v>
      </c>
      <c r="D204" s="11">
        <f>IFERROR(INDEX(rngData,MATCH($B204,rngYear,0),MATCH(OFFSET(D204,-$A204,0),rngColumnNames,0)),"")</f>
        <v>6.414841</v>
      </c>
      <c r="E204" s="11">
        <f>IFERROR(INDEX(rngData,MATCH($B204,rngYear,0),MATCH(OFFSET(E204,-$A204,0),rngColumnNames,0)),"")</f>
        <v>3.567874</v>
      </c>
      <c r="F204" s="11">
        <f>IFERROR(INDEX(rngData,MATCH($B204,rngYear,0),MATCH(OFFSET(F204,-$A204,0),rngColumnNames,0)),"")</f>
        <v>9.208622</v>
      </c>
      <c r="G204" s="11">
        <f t="shared" si="12"/>
        <v>5.640748</v>
      </c>
    </row>
    <row r="205">
      <c r="A205" s="9">
        <f t="shared" si="13"/>
        <v>7</v>
      </c>
      <c r="B205" s="10">
        <f>IF(INDEX(rngYear,A205+1)&lt;&gt;0,INDEX(rngYear,A205+1),"")</f>
        <v>1986</v>
      </c>
      <c r="C205" s="11">
        <f>IFERROR(INDEX(rngData,MATCH($B205,rngYear,0),MATCH(OFFSET(C205,-$A205,0),rngColumnNames,0)),"")</f>
        <v>15</v>
      </c>
      <c r="D205" s="11">
        <f>IFERROR(INDEX(rngData,MATCH($B205,rngYear,0),MATCH(OFFSET(D205,-$A205,0),rngColumnNames,0)),"")</f>
        <v>6.053392</v>
      </c>
      <c r="E205" s="11">
        <f>IFERROR(INDEX(rngData,MATCH($B205,rngYear,0),MATCH(OFFSET(E205,-$A205,0),rngColumnNames,0)),"")</f>
        <v>3.598927</v>
      </c>
      <c r="F205" s="11">
        <f>IFERROR(INDEX(rngData,MATCH($B205,rngYear,0),MATCH(OFFSET(F205,-$A205,0),rngColumnNames,0)),"")</f>
        <v>7.913091</v>
      </c>
      <c r="G205" s="11">
        <f t="shared" si="12"/>
        <v>4.314164</v>
      </c>
    </row>
    <row r="206">
      <c r="A206" s="9">
        <f t="shared" si="13"/>
        <v>8</v>
      </c>
      <c r="B206" s="10">
        <f>IF(INDEX(rngYear,A206+1)&lt;&gt;0,INDEX(rngYear,A206+1),"")</f>
        <v>1987</v>
      </c>
      <c r="C206" s="11">
        <f>IFERROR(INDEX(rngData,MATCH($B206,rngYear,0),MATCH(OFFSET(C206,-$A206,0),rngColumnNames,0)),"")</f>
        <v>8</v>
      </c>
      <c r="D206" s="11">
        <f>IFERROR(INDEX(rngData,MATCH($B206,rngYear,0),MATCH(OFFSET(D206,-$A206,0),rngColumnNames,0)),"")</f>
        <v>6.134895</v>
      </c>
      <c r="E206" s="11">
        <f>IFERROR(INDEX(rngData,MATCH($B206,rngYear,0),MATCH(OFFSET(E206,-$A206,0),rngColumnNames,0)),"")</f>
        <v>4.448238</v>
      </c>
      <c r="F206" s="11">
        <f>IFERROR(INDEX(rngData,MATCH($B206,rngYear,0),MATCH(OFFSET(F206,-$A206,0),rngColumnNames,0)),"")</f>
        <v>8.198847</v>
      </c>
      <c r="G206" s="11">
        <f t="shared" si="12"/>
        <v>3.7506090000000007</v>
      </c>
    </row>
    <row r="207">
      <c r="A207" s="9">
        <f t="shared" si="13"/>
        <v>9</v>
      </c>
      <c r="B207" s="10">
        <f>IF(INDEX(rngYear,A207+1)&lt;&gt;0,INDEX(rngYear,A207+1),"")</f>
        <v>1988</v>
      </c>
      <c r="C207" s="11">
        <f>IFERROR(INDEX(rngData,MATCH($B207,rngYear,0),MATCH(OFFSET(C207,-$A207,0),rngColumnNames,0)),"")</f>
        <v>10</v>
      </c>
      <c r="D207" s="11">
        <f>IFERROR(INDEX(rngData,MATCH($B207,rngYear,0),MATCH(OFFSET(D207,-$A207,0),rngColumnNames,0)),"")</f>
        <v>10.646875</v>
      </c>
      <c r="E207" s="11">
        <f>IFERROR(INDEX(rngData,MATCH($B207,rngYear,0),MATCH(OFFSET(E207,-$A207,0),rngColumnNames,0)),"")</f>
        <v>8.024687</v>
      </c>
      <c r="F207" s="11">
        <f>IFERROR(INDEX(rngData,MATCH($B207,rngYear,0),MATCH(OFFSET(F207,-$A207,0),rngColumnNames,0)),"")</f>
        <v>13.296577</v>
      </c>
      <c r="G207" s="11">
        <f t="shared" si="12"/>
        <v>5.2718899999999991</v>
      </c>
    </row>
    <row r="208">
      <c r="A208" s="9">
        <f t="shared" si="13"/>
        <v>10</v>
      </c>
      <c r="B208" s="10">
        <f>IF(INDEX(rngYear,A208+1)&lt;&gt;0,INDEX(rngYear,A208+1),"")</f>
        <v>1989</v>
      </c>
      <c r="C208" s="11">
        <f>IFERROR(INDEX(rngData,MATCH($B208,rngYear,0),MATCH(OFFSET(C208,-$A208,0),rngColumnNames,0)),"")</f>
        <v>19</v>
      </c>
      <c r="D208" s="11">
        <f>IFERROR(INDEX(rngData,MATCH($B208,rngYear,0),MATCH(OFFSET(D208,-$A208,0),rngColumnNames,0)),"")</f>
        <v>14.905723</v>
      </c>
      <c r="E208" s="11">
        <f>IFERROR(INDEX(rngData,MATCH($B208,rngYear,0),MATCH(OFFSET(E208,-$A208,0),rngColumnNames,0)),"")</f>
        <v>12.113748</v>
      </c>
      <c r="F208" s="11">
        <f>IFERROR(INDEX(rngData,MATCH($B208,rngYear,0),MATCH(OFFSET(F208,-$A208,0),rngColumnNames,0)),"")</f>
        <v>18.728971</v>
      </c>
      <c r="G208" s="11">
        <f t="shared" si="12"/>
        <v>6.6152230000000021</v>
      </c>
    </row>
    <row r="209">
      <c r="A209" s="9">
        <f t="shared" si="13"/>
        <v>11</v>
      </c>
      <c r="B209" s="10">
        <f>IF(INDEX(rngYear,A209+1)&lt;&gt;0,INDEX(rngYear,A209+1),"")</f>
        <v>1990</v>
      </c>
      <c r="C209" s="11">
        <f>IFERROR(INDEX(rngData,MATCH($B209,rngYear,0),MATCH(OFFSET(C209,-$A209,0),rngColumnNames,0)),"")</f>
        <v>22</v>
      </c>
      <c r="D209" s="11">
        <f>IFERROR(INDEX(rngData,MATCH($B209,rngYear,0),MATCH(OFFSET(D209,-$A209,0),rngColumnNames,0)),"")</f>
        <v>15.971059</v>
      </c>
      <c r="E209" s="11">
        <f>IFERROR(INDEX(rngData,MATCH($B209,rngYear,0),MATCH(OFFSET(E209,-$A209,0),rngColumnNames,0)),"")</f>
        <v>12.109398</v>
      </c>
      <c r="F209" s="11">
        <f>IFERROR(INDEX(rngData,MATCH($B209,rngYear,0),MATCH(OFFSET(F209,-$A209,0),rngColumnNames,0)),"")</f>
        <v>19.276393</v>
      </c>
      <c r="G209" s="11">
        <f t="shared" si="12"/>
        <v>7.1669949999999982</v>
      </c>
    </row>
    <row r="210">
      <c r="A210" s="9">
        <f t="shared" si="13"/>
        <v>12</v>
      </c>
      <c r="B210" s="10">
        <f>IF(INDEX(rngYear,A210+1)&lt;&gt;0,INDEX(rngYear,A210+1),"")</f>
        <v>1991</v>
      </c>
      <c r="C210" s="11">
        <f>IFERROR(INDEX(rngData,MATCH($B210,rngYear,0),MATCH(OFFSET(C210,-$A210,0),rngColumnNames,0)),"")</f>
        <v>10</v>
      </c>
      <c r="D210" s="11">
        <f>IFERROR(INDEX(rngData,MATCH($B210,rngYear,0),MATCH(OFFSET(D210,-$A210,0),rngColumnNames,0)),"")</f>
        <v>15.854523</v>
      </c>
      <c r="E210" s="11">
        <f>IFERROR(INDEX(rngData,MATCH($B210,rngYear,0),MATCH(OFFSET(E210,-$A210,0),rngColumnNames,0)),"")</f>
        <v>12.671767</v>
      </c>
      <c r="F210" s="11">
        <f>IFERROR(INDEX(rngData,MATCH($B210,rngYear,0),MATCH(OFFSET(F210,-$A210,0),rngColumnNames,0)),"")</f>
        <v>19.412143</v>
      </c>
      <c r="G210" s="11">
        <f t="shared" si="12"/>
        <v>6.7403760000000013</v>
      </c>
    </row>
    <row r="211">
      <c r="A211" s="9">
        <f t="shared" si="13"/>
        <v>13</v>
      </c>
      <c r="B211" s="10">
        <f>IF(INDEX(rngYear,A211+1)&lt;&gt;0,INDEX(rngYear,A211+1),"")</f>
        <v>1992</v>
      </c>
      <c r="C211" s="11">
        <f>IFERROR(INDEX(rngData,MATCH($B211,rngYear,0),MATCH(OFFSET(C211,-$A211,0),rngColumnNames,0)),"")</f>
        <v>35</v>
      </c>
      <c r="D211" s="11">
        <f>IFERROR(INDEX(rngData,MATCH($B211,rngYear,0),MATCH(OFFSET(D211,-$A211,0),rngColumnNames,0)),"")</f>
        <v>45.885423</v>
      </c>
      <c r="E211" s="11">
        <f>IFERROR(INDEX(rngData,MATCH($B211,rngYear,0),MATCH(OFFSET(E211,-$A211,0),rngColumnNames,0)),"")</f>
        <v>39.34152</v>
      </c>
      <c r="F211" s="11">
        <f>IFERROR(INDEX(rngData,MATCH($B211,rngYear,0),MATCH(OFFSET(F211,-$A211,0),rngColumnNames,0)),"")</f>
        <v>52.318722</v>
      </c>
      <c r="G211" s="11">
        <f t="shared" si="12"/>
        <v>12.977201999999998</v>
      </c>
    </row>
    <row r="212">
      <c r="A212" s="9">
        <f t="shared" si="13"/>
        <v>14</v>
      </c>
      <c r="B212" s="10">
        <f>IF(INDEX(rngYear,A212+1)&lt;&gt;0,INDEX(rngYear,A212+1),"")</f>
        <v>1993</v>
      </c>
      <c r="C212" s="11">
        <f>IFERROR(INDEX(rngData,MATCH($B212,rngYear,0),MATCH(OFFSET(C212,-$A212,0),rngColumnNames,0)),"")</f>
        <v>60</v>
      </c>
      <c r="D212" s="11">
        <f>IFERROR(INDEX(rngData,MATCH($B212,rngYear,0),MATCH(OFFSET(D212,-$A212,0),rngColumnNames,0)),"")</f>
        <v>73.303991</v>
      </c>
      <c r="E212" s="11">
        <f>IFERROR(INDEX(rngData,MATCH($B212,rngYear,0),MATCH(OFFSET(E212,-$A212,0),rngColumnNames,0)),"")</f>
        <v>64.039089</v>
      </c>
      <c r="F212" s="11">
        <f>IFERROR(INDEX(rngData,MATCH($B212,rngYear,0),MATCH(OFFSET(F212,-$A212,0),rngColumnNames,0)),"")</f>
        <v>81.808612</v>
      </c>
      <c r="G212" s="11">
        <f t="shared" si="12"/>
        <v>17.769522999999992</v>
      </c>
    </row>
    <row r="213">
      <c r="A213" s="9">
        <f t="shared" si="13"/>
        <v>15</v>
      </c>
      <c r="B213" s="10">
        <f>IF(INDEX(rngYear,A213+1)&lt;&gt;0,INDEX(rngYear,A213+1),"")</f>
        <v>1994</v>
      </c>
      <c r="C213" s="11">
        <f>IFERROR(INDEX(rngData,MATCH($B213,rngYear,0),MATCH(OFFSET(C213,-$A213,0),rngColumnNames,0)),"")</f>
        <v>91</v>
      </c>
      <c r="D213" s="11">
        <f>IFERROR(INDEX(rngData,MATCH($B213,rngYear,0),MATCH(OFFSET(D213,-$A213,0),rngColumnNames,0)),"")</f>
        <v>122.058479</v>
      </c>
      <c r="E213" s="11">
        <f>IFERROR(INDEX(rngData,MATCH($B213,rngYear,0),MATCH(OFFSET(E213,-$A213,0),rngColumnNames,0)),"")</f>
        <v>113.671238</v>
      </c>
      <c r="F213" s="11">
        <f>IFERROR(INDEX(rngData,MATCH($B213,rngYear,0),MATCH(OFFSET(F213,-$A213,0),rngColumnNames,0)),"")</f>
        <v>132.422257</v>
      </c>
      <c r="G213" s="11">
        <f t="shared" si="12"/>
        <v>18.751019</v>
      </c>
    </row>
    <row r="214">
      <c r="A214" s="9">
        <f t="shared" si="13"/>
        <v>16</v>
      </c>
      <c r="B214" s="10">
        <f>IF(INDEX(rngYear,A214+1)&lt;&gt;0,INDEX(rngYear,A214+1),"")</f>
        <v>1995</v>
      </c>
      <c r="C214" s="11">
        <f>IFERROR(INDEX(rngData,MATCH($B214,rngYear,0),MATCH(OFFSET(C214,-$A214,0),rngColumnNames,0)),"")</f>
        <v>65</v>
      </c>
      <c r="D214" s="11">
        <f>IFERROR(INDEX(rngData,MATCH($B214,rngYear,0),MATCH(OFFSET(D214,-$A214,0),rngColumnNames,0)),"")</f>
        <v>86.727099</v>
      </c>
      <c r="E214" s="11">
        <f>IFERROR(INDEX(rngData,MATCH($B214,rngYear,0),MATCH(OFFSET(E214,-$A214,0),rngColumnNames,0)),"")</f>
        <v>80.727075</v>
      </c>
      <c r="F214" s="11">
        <f>IFERROR(INDEX(rngData,MATCH($B214,rngYear,0),MATCH(OFFSET(F214,-$A214,0),rngColumnNames,0)),"")</f>
        <v>93.411043</v>
      </c>
      <c r="G214" s="11">
        <f t="shared" si="12"/>
        <v>12.683968000000007</v>
      </c>
    </row>
    <row r="215">
      <c r="A215" s="9">
        <f t="shared" si="13"/>
        <v>17</v>
      </c>
      <c r="B215" s="10">
        <f>IF(INDEX(rngYear,A215+1)&lt;&gt;0,INDEX(rngYear,A215+1),"")</f>
        <v>1996</v>
      </c>
      <c r="C215" s="11">
        <f>IFERROR(INDEX(rngData,MATCH($B215,rngYear,0),MATCH(OFFSET(C215,-$A215,0),rngColumnNames,0)),"")</f>
        <v>97</v>
      </c>
      <c r="D215" s="11">
        <f>IFERROR(INDEX(rngData,MATCH($B215,rngYear,0),MATCH(OFFSET(D215,-$A215,0),rngColumnNames,0)),"")</f>
        <v>98.699505</v>
      </c>
      <c r="E215" s="11">
        <f>IFERROR(INDEX(rngData,MATCH($B215,rngYear,0),MATCH(OFFSET(E215,-$A215,0),rngColumnNames,0)),"")</f>
        <v>91.983285</v>
      </c>
      <c r="F215" s="11">
        <f>IFERROR(INDEX(rngData,MATCH($B215,rngYear,0),MATCH(OFFSET(F215,-$A215,0),rngColumnNames,0)),"")</f>
        <v>105.874655</v>
      </c>
      <c r="G215" s="11">
        <f t="shared" si="12"/>
        <v>13.891370000000009</v>
      </c>
    </row>
    <row r="216">
      <c r="A216" s="9">
        <f t="shared" si="13"/>
        <v>18</v>
      </c>
      <c r="B216" s="10">
        <f>IF(INDEX(rngYear,A216+1)&lt;&gt;0,INDEX(rngYear,A216+1),"")</f>
        <v>1997</v>
      </c>
      <c r="C216" s="11">
        <f>IFERROR(INDEX(rngData,MATCH($B216,rngYear,0),MATCH(OFFSET(C216,-$A216,0),rngColumnNames,0)),"")</f>
        <v>98</v>
      </c>
      <c r="D216" s="11">
        <f>IFERROR(INDEX(rngData,MATCH($B216,rngYear,0),MATCH(OFFSET(D216,-$A216,0),rngColumnNames,0)),"")</f>
        <v>103.147265</v>
      </c>
      <c r="E216" s="11">
        <f>IFERROR(INDEX(rngData,MATCH($B216,rngYear,0),MATCH(OFFSET(E216,-$A216,0),rngColumnNames,0)),"")</f>
        <v>97.11657</v>
      </c>
      <c r="F216" s="11">
        <f>IFERROR(INDEX(rngData,MATCH($B216,rngYear,0),MATCH(OFFSET(F216,-$A216,0),rngColumnNames,0)),"")</f>
        <v>110.22186</v>
      </c>
      <c r="G216" s="11">
        <f t="shared" si="12"/>
        <v>13.105290000000011</v>
      </c>
    </row>
    <row r="217">
      <c r="A217" s="9">
        <f t="shared" si="13"/>
        <v>19</v>
      </c>
      <c r="B217" s="10">
        <f>IF(INDEX(rngYear,A217+1)&lt;&gt;0,INDEX(rngYear,A217+1),"")</f>
        <v>1998</v>
      </c>
      <c r="C217" s="11">
        <f>IFERROR(INDEX(rngData,MATCH($B217,rngYear,0),MATCH(OFFSET(C217,-$A217,0),rngColumnNames,0)),"")</f>
        <v>93</v>
      </c>
      <c r="D217" s="11">
        <f>IFERROR(INDEX(rngData,MATCH($B217,rngYear,0),MATCH(OFFSET(D217,-$A217,0),rngColumnNames,0)),"")</f>
        <v>92.998878</v>
      </c>
      <c r="E217" s="11">
        <f>IFERROR(INDEX(rngData,MATCH($B217,rngYear,0),MATCH(OFFSET(E217,-$A217,0),rngColumnNames,0)),"")</f>
        <v>88.489014</v>
      </c>
      <c r="F217" s="11">
        <f>IFERROR(INDEX(rngData,MATCH($B217,rngYear,0),MATCH(OFFSET(F217,-$A217,0),rngColumnNames,0)),"")</f>
        <v>99.324262</v>
      </c>
      <c r="G217" s="11">
        <f t="shared" si="12"/>
        <v>10.835248000000007</v>
      </c>
    </row>
    <row r="218">
      <c r="A218" s="9">
        <f t="shared" si="13"/>
        <v>20</v>
      </c>
      <c r="B218" s="10">
        <f>IF(INDEX(rngYear,A218+1)&lt;&gt;0,INDEX(rngYear,A218+1),"")</f>
        <v>1999</v>
      </c>
      <c r="C218" s="11">
        <f>IFERROR(INDEX(rngData,MATCH($B218,rngYear,0),MATCH(OFFSET(C218,-$A218,0),rngColumnNames,0)),"")</f>
        <v>97</v>
      </c>
      <c r="D218" s="11">
        <f>IFERROR(INDEX(rngData,MATCH($B218,rngYear,0),MATCH(OFFSET(D218,-$A218,0),rngColumnNames,0)),"")</f>
        <v>76.18794</v>
      </c>
      <c r="E218" s="11">
        <f>IFERROR(INDEX(rngData,MATCH($B218,rngYear,0),MATCH(OFFSET(E218,-$A218,0),rngColumnNames,0)),"")</f>
        <v>71.49637</v>
      </c>
      <c r="F218" s="11">
        <f>IFERROR(INDEX(rngData,MATCH($B218,rngYear,0),MATCH(OFFSET(F218,-$A218,0),rngColumnNames,0)),"")</f>
        <v>82.102715</v>
      </c>
      <c r="G218" s="11">
        <f t="shared" si="12"/>
        <v>10.606345000000005</v>
      </c>
    </row>
    <row r="219">
      <c r="A219" s="9">
        <f t="shared" si="13"/>
        <v>21</v>
      </c>
      <c r="B219" s="10">
        <f>IF(INDEX(rngYear,A219+1)&lt;&gt;0,INDEX(rngYear,A219+1),"")</f>
        <v>2000</v>
      </c>
      <c r="C219" s="11">
        <f>IFERROR(INDEX(rngData,MATCH($B219,rngYear,0),MATCH(OFFSET(C219,-$A219,0),rngColumnNames,0)),"")</f>
        <v>75</v>
      </c>
      <c r="D219" s="11">
        <f>IFERROR(INDEX(rngData,MATCH($B219,rngYear,0),MATCH(OFFSET(D219,-$A219,0),rngColumnNames,0)),"")</f>
        <v>92.189904</v>
      </c>
      <c r="E219" s="11">
        <f>IFERROR(INDEX(rngData,MATCH($B219,rngYear,0),MATCH(OFFSET(E219,-$A219,0),rngColumnNames,0)),"")</f>
        <v>86.51091</v>
      </c>
      <c r="F219" s="11">
        <f>IFERROR(INDEX(rngData,MATCH($B219,rngYear,0),MATCH(OFFSET(F219,-$A219,0),rngColumnNames,0)),"")</f>
        <v>101.294675</v>
      </c>
      <c r="G219" s="11">
        <f t="shared" si="12"/>
        <v>14.783765000000003</v>
      </c>
    </row>
    <row r="220">
      <c r="A220" s="9">
        <f t="shared" si="13"/>
        <v>22</v>
      </c>
      <c r="B220" s="10">
        <f>IF(INDEX(rngYear,A220+1)&lt;&gt;0,INDEX(rngYear,A220+1),"")</f>
        <v>2001</v>
      </c>
      <c r="C220" s="11">
        <f>IFERROR(INDEX(rngData,MATCH($B220,rngYear,0),MATCH(OFFSET(C220,-$A220,0),rngColumnNames,0)),"")</f>
        <v>84</v>
      </c>
      <c r="D220" s="11">
        <f>IFERROR(INDEX(rngData,MATCH($B220,rngYear,0),MATCH(OFFSET(D220,-$A220,0),rngColumnNames,0)),"")</f>
        <v>81.486463</v>
      </c>
      <c r="E220" s="11">
        <f>IFERROR(INDEX(rngData,MATCH($B220,rngYear,0),MATCH(OFFSET(E220,-$A220,0),rngColumnNames,0)),"")</f>
        <v>75.035557</v>
      </c>
      <c r="F220" s="11">
        <f>IFERROR(INDEX(rngData,MATCH($B220,rngYear,0),MATCH(OFFSET(F220,-$A220,0),rngColumnNames,0)),"")</f>
        <v>90.371608</v>
      </c>
      <c r="G220" s="11">
        <f t="shared" si="12"/>
        <v>15.336050999999998</v>
      </c>
    </row>
    <row r="221">
      <c r="A221" s="9">
        <f t="shared" si="13"/>
        <v>23</v>
      </c>
      <c r="B221" s="10">
        <f>IF(INDEX(rngYear,A221+1)&lt;&gt;0,INDEX(rngYear,A221+1),"")</f>
        <v>2002</v>
      </c>
      <c r="C221" s="11">
        <f>IFERROR(INDEX(rngData,MATCH($B221,rngYear,0),MATCH(OFFSET(C221,-$A221,0),rngColumnNames,0)),"")</f>
        <v>97</v>
      </c>
      <c r="D221" s="11">
        <f>IFERROR(INDEX(rngData,MATCH($B221,rngYear,0),MATCH(OFFSET(D221,-$A221,0),rngColumnNames,0)),"")</f>
        <v>80.803329</v>
      </c>
      <c r="E221" s="11">
        <f>IFERROR(INDEX(rngData,MATCH($B221,rngYear,0),MATCH(OFFSET(E221,-$A221,0),rngColumnNames,0)),"")</f>
        <v>75.225447</v>
      </c>
      <c r="F221" s="11">
        <f>IFERROR(INDEX(rngData,MATCH($B221,rngYear,0),MATCH(OFFSET(F221,-$A221,0),rngColumnNames,0)),"")</f>
        <v>88.435999</v>
      </c>
      <c r="G221" s="11">
        <f t="shared" si="12"/>
        <v>13.210551999999993</v>
      </c>
    </row>
    <row r="222">
      <c r="A222" s="9">
        <f t="shared" si="13"/>
        <v>24</v>
      </c>
      <c r="B222" s="10">
        <f>IF(INDEX(rngYear,A222+1)&lt;&gt;0,INDEX(rngYear,A222+1),"")</f>
        <v>2003</v>
      </c>
      <c r="C222" s="11">
        <f>IFERROR(INDEX(rngData,MATCH($B222,rngYear,0),MATCH(OFFSET(C222,-$A222,0),rngColumnNames,0)),"")</f>
        <v>96</v>
      </c>
      <c r="D222" s="11">
        <f>IFERROR(INDEX(rngData,MATCH($B222,rngYear,0),MATCH(OFFSET(D222,-$A222,0),rngColumnNames,0)),"")</f>
        <v>89.722282</v>
      </c>
      <c r="E222" s="11">
        <f>IFERROR(INDEX(rngData,MATCH($B222,rngYear,0),MATCH(OFFSET(E222,-$A222,0),rngColumnNames,0)),"")</f>
        <v>84.55579</v>
      </c>
      <c r="F222" s="11">
        <f>IFERROR(INDEX(rngData,MATCH($B222,rngYear,0),MATCH(OFFSET(F222,-$A222,0),rngColumnNames,0)),"")</f>
        <v>96.713876</v>
      </c>
      <c r="G222" s="11">
        <f t="shared" si="12"/>
        <v>12.158085999999997</v>
      </c>
    </row>
    <row r="223">
      <c r="A223" s="9">
        <f t="shared" si="13"/>
        <v>25</v>
      </c>
      <c r="B223" s="10">
        <f>IF(INDEX(rngYear,A223+1)&lt;&gt;0,INDEX(rngYear,A223+1),"")</f>
        <v>2004</v>
      </c>
      <c r="C223" s="11">
        <f>IFERROR(INDEX(rngData,MATCH($B223,rngYear,0),MATCH(OFFSET(C223,-$A223,0),rngColumnNames,0)),"")</f>
        <v>113</v>
      </c>
      <c r="D223" s="11">
        <f>IFERROR(INDEX(rngData,MATCH($B223,rngYear,0),MATCH(OFFSET(D223,-$A223,0),rngColumnNames,0)),"")</f>
        <v>100.149652</v>
      </c>
      <c r="E223" s="11">
        <f>IFERROR(INDEX(rngData,MATCH($B223,rngYear,0),MATCH(OFFSET(E223,-$A223,0),rngColumnNames,0)),"")</f>
        <v>94.035238</v>
      </c>
      <c r="F223" s="11">
        <f>IFERROR(INDEX(rngData,MATCH($B223,rngYear,0),MATCH(OFFSET(F223,-$A223,0),rngColumnNames,0)),"")</f>
        <v>108.103697</v>
      </c>
      <c r="G223" s="11">
        <f t="shared" si="12"/>
        <v>14.06845899999999</v>
      </c>
    </row>
    <row r="224">
      <c r="A224" s="9">
        <f t="shared" si="13"/>
        <v>26</v>
      </c>
      <c r="B224" s="10">
        <f>IF(INDEX(rngYear,A224+1)&lt;&gt;0,INDEX(rngYear,A224+1),"")</f>
        <v>2005</v>
      </c>
      <c r="C224" s="11">
        <f>IFERROR(INDEX(rngData,MATCH($B224,rngYear,0),MATCH(OFFSET(C224,-$A224,0),rngColumnNames,0)),"")</f>
        <v>109</v>
      </c>
      <c r="D224" s="11">
        <f>IFERROR(INDEX(rngData,MATCH($B224,rngYear,0),MATCH(OFFSET(D224,-$A224,0),rngColumnNames,0)),"")</f>
        <v>107.734958</v>
      </c>
      <c r="E224" s="11">
        <f>IFERROR(INDEX(rngData,MATCH($B224,rngYear,0),MATCH(OFFSET(E224,-$A224,0),rngColumnNames,0)),"")</f>
        <v>100.774879</v>
      </c>
      <c r="F224" s="11">
        <f>IFERROR(INDEX(rngData,MATCH($B224,rngYear,0),MATCH(OFFSET(F224,-$A224,0),rngColumnNames,0)),"")</f>
        <v>114.486957</v>
      </c>
      <c r="G224" s="11">
        <f t="shared" si="12"/>
        <v>13.712078000000005</v>
      </c>
    </row>
    <row r="225">
      <c r="A225" s="9">
        <f t="shared" si="13"/>
        <v>27</v>
      </c>
      <c r="B225" s="10">
        <f>IF(INDEX(rngYear,A225+1)&lt;&gt;0,INDEX(rngYear,A225+1),"")</f>
        <v>2006</v>
      </c>
      <c r="C225" s="11">
        <f>IFERROR(INDEX(rngData,MATCH($B225,rngYear,0),MATCH(OFFSET(C225,-$A225,0),rngColumnNames,0)),"")</f>
        <v>155</v>
      </c>
      <c r="D225" s="11">
        <f>IFERROR(INDEX(rngData,MATCH($B225,rngYear,0),MATCH(OFFSET(D225,-$A225,0),rngColumnNames,0)),"")</f>
        <v>115.655633</v>
      </c>
      <c r="E225" s="11">
        <f>IFERROR(INDEX(rngData,MATCH($B225,rngYear,0),MATCH(OFFSET(E225,-$A225,0),rngColumnNames,0)),"")</f>
        <v>108.408938</v>
      </c>
      <c r="F225" s="11">
        <f>IFERROR(INDEX(rngData,MATCH($B225,rngYear,0),MATCH(OFFSET(F225,-$A225,0),rngColumnNames,0)),"")</f>
        <v>121.824585</v>
      </c>
      <c r="G225" s="11">
        <f t="shared" si="12"/>
        <v>13.415646999999993</v>
      </c>
    </row>
    <row r="226">
      <c r="A226" s="9">
        <f t="shared" si="13"/>
        <v>28</v>
      </c>
      <c r="B226" s="10">
        <f>IF(INDEX(rngYear,A226+1)&lt;&gt;0,INDEX(rngYear,A226+1),"")</f>
        <v>2007</v>
      </c>
      <c r="C226" s="11">
        <f>IFERROR(INDEX(rngData,MATCH($B226,rngYear,0),MATCH(OFFSET(C226,-$A226,0),rngColumnNames,0)),"")</f>
        <v>130</v>
      </c>
      <c r="D226" s="11">
        <f>IFERROR(INDEX(rngData,MATCH($B226,rngYear,0),MATCH(OFFSET(D226,-$A226,0),rngColumnNames,0)),"")</f>
        <v>122.558906</v>
      </c>
      <c r="E226" s="11">
        <f>IFERROR(INDEX(rngData,MATCH($B226,rngYear,0),MATCH(OFFSET(E226,-$A226,0),rngColumnNames,0)),"")</f>
        <v>114.568479</v>
      </c>
      <c r="F226" s="11">
        <f>IFERROR(INDEX(rngData,MATCH($B226,rngYear,0),MATCH(OFFSET(F226,-$A226,0),rngColumnNames,0)),"")</f>
        <v>131.962155</v>
      </c>
      <c r="G226" s="11">
        <f t="shared" si="12"/>
        <v>17.393676</v>
      </c>
    </row>
    <row r="227">
      <c r="A227" s="9">
        <f t="shared" si="13"/>
        <v>29</v>
      </c>
      <c r="B227" s="10">
        <f>IF(INDEX(rngYear,A227+1)&lt;&gt;0,INDEX(rngYear,A227+1),"")</f>
        <v>2008</v>
      </c>
      <c r="C227" s="11">
        <f>IFERROR(INDEX(rngData,MATCH($B227,rngYear,0),MATCH(OFFSET(C227,-$A227,0),rngColumnNames,0)),"")</f>
        <v>138</v>
      </c>
      <c r="D227" s="11">
        <f>IFERROR(INDEX(rngData,MATCH($B227,rngYear,0),MATCH(OFFSET(D227,-$A227,0),rngColumnNames,0)),"")</f>
        <v>153.94733</v>
      </c>
      <c r="E227" s="11">
        <f>IFERROR(INDEX(rngData,MATCH($B227,rngYear,0),MATCH(OFFSET(E227,-$A227,0),rngColumnNames,0)),"")</f>
        <v>145.828926</v>
      </c>
      <c r="F227" s="11">
        <f>IFERROR(INDEX(rngData,MATCH($B227,rngYear,0),MATCH(OFFSET(F227,-$A227,0),rngColumnNames,0)),"")</f>
        <v>161.620324</v>
      </c>
      <c r="G227" s="11">
        <f t="shared" si="12"/>
        <v>15.791398000000015</v>
      </c>
    </row>
    <row r="228">
      <c r="A228" s="9">
        <f t="shared" si="13"/>
        <v>30</v>
      </c>
      <c r="B228" s="10">
        <f>IF(INDEX(rngYear,A228+1)&lt;&gt;0,INDEX(rngYear,A228+1),"")</f>
        <v>2009</v>
      </c>
      <c r="C228" s="11">
        <f>IFERROR(INDEX(rngData,MATCH($B228,rngYear,0),MATCH(OFFSET(C228,-$A228,0),rngColumnNames,0)),"")</f>
        <v>154</v>
      </c>
      <c r="D228" s="11">
        <f>IFERROR(INDEX(rngData,MATCH($B228,rngYear,0),MATCH(OFFSET(D228,-$A228,0),rngColumnNames,0)),"")</f>
        <v>157.678147</v>
      </c>
      <c r="E228" s="11">
        <f>IFERROR(INDEX(rngData,MATCH($B228,rngYear,0),MATCH(OFFSET(E228,-$A228,0),rngColumnNames,0)),"")</f>
        <v>146.514276</v>
      </c>
      <c r="F228" s="11">
        <f>IFERROR(INDEX(rngData,MATCH($B228,rngYear,0),MATCH(OFFSET(F228,-$A228,0),rngColumnNames,0)),"")</f>
        <v>165.719287</v>
      </c>
      <c r="G228" s="11">
        <f t="shared" si="12"/>
        <v>19.205011000000013</v>
      </c>
    </row>
    <row r="229">
      <c r="A229" s="9">
        <f t="shared" si="13"/>
        <v>31</v>
      </c>
      <c r="B229" s="10">
        <f>IF(INDEX(rngYear,A229+1)&lt;&gt;0,INDEX(rngYear,A229+1),"")</f>
        <v>2010</v>
      </c>
      <c r="C229" s="11">
        <f>IFERROR(INDEX(rngData,MATCH($B229,rngYear,0),MATCH(OFFSET(C229,-$A229,0),rngColumnNames,0)),"")</f>
        <v>166</v>
      </c>
      <c r="D229" s="11">
        <f>IFERROR(INDEX(rngData,MATCH($B229,rngYear,0),MATCH(OFFSET(D229,-$A229,0),rngColumnNames,0)),"")</f>
        <v>172.959597</v>
      </c>
      <c r="E229" s="11">
        <f>IFERROR(INDEX(rngData,MATCH($B229,rngYear,0),MATCH(OFFSET(E229,-$A229,0),rngColumnNames,0)),"")</f>
        <v>163.23589</v>
      </c>
      <c r="F229" s="11">
        <f>IFERROR(INDEX(rngData,MATCH($B229,rngYear,0),MATCH(OFFSET(F229,-$A229,0),rngColumnNames,0)),"")</f>
        <v>182.90086</v>
      </c>
      <c r="G229" s="11">
        <f t="shared" si="12"/>
        <v>19.664969999999983</v>
      </c>
    </row>
    <row r="230">
      <c r="A230" s="9">
        <f t="shared" si="13"/>
        <v>32</v>
      </c>
      <c r="B230" s="10">
        <f>IF(INDEX(rngYear,A230+1)&lt;&gt;0,INDEX(rngYear,A230+1),"")</f>
        <v>2011</v>
      </c>
      <c r="C230" s="11">
        <f>IFERROR(INDEX(rngData,MATCH($B230,rngYear,0),MATCH(OFFSET(C230,-$A230,0),rngColumnNames,0)),"")</f>
        <v>132</v>
      </c>
      <c r="D230" s="11">
        <f>IFERROR(INDEX(rngData,MATCH($B230,rngYear,0),MATCH(OFFSET(D230,-$A230,0),rngColumnNames,0)),"")</f>
        <v>170.786433</v>
      </c>
      <c r="E230" s="11">
        <f>IFERROR(INDEX(rngData,MATCH($B230,rngYear,0),MATCH(OFFSET(E230,-$A230,0),rngColumnNames,0)),"")</f>
        <v>161.649829</v>
      </c>
      <c r="F230" s="11">
        <f>IFERROR(INDEX(rngData,MATCH($B230,rngYear,0),MATCH(OFFSET(F230,-$A230,0),rngColumnNames,0)),"")</f>
        <v>179.79126</v>
      </c>
      <c r="G230" s="11">
        <f t="shared" si="12"/>
        <v>18.141430999999983</v>
      </c>
    </row>
    <row r="231">
      <c r="A231" s="9">
        <f t="shared" si="13"/>
        <v>33</v>
      </c>
      <c r="B231" s="10">
        <f>IF(INDEX(rngYear,A231+1)&lt;&gt;0,INDEX(rngYear,A231+1),"")</f>
        <v>2012</v>
      </c>
      <c r="C231" s="11">
        <f>IFERROR(INDEX(rngData,MATCH($B231,rngYear,0),MATCH(OFFSET(C231,-$A231,0),rngColumnNames,0)),"")</f>
        <v>163</v>
      </c>
      <c r="D231" s="11">
        <f>IFERROR(INDEX(rngData,MATCH($B231,rngYear,0),MATCH(OFFSET(D231,-$A231,0),rngColumnNames,0)),"")</f>
        <v>159.100524</v>
      </c>
      <c r="E231" s="11">
        <f>IFERROR(INDEX(rngData,MATCH($B231,rngYear,0),MATCH(OFFSET(E231,-$A231,0),rngColumnNames,0)),"")</f>
        <v>148.486946</v>
      </c>
      <c r="F231" s="11">
        <f>IFERROR(INDEX(rngData,MATCH($B231,rngYear,0),MATCH(OFFSET(F231,-$A231,0),rngColumnNames,0)),"")</f>
        <v>167.038768</v>
      </c>
      <c r="G231" s="11">
        <f ref="G231:G258" t="shared" si="14">IFERROR(F231-E231,"")</f>
        <v>18.551822000000016</v>
      </c>
    </row>
    <row r="232" hidden="1">
      <c r="A232" s="9">
        <f ref="A232:A258" t="shared" si="15">A231+1</f>
        <v>34</v>
      </c>
      <c r="B232" s="10">
        <f>IF(INDEX(rngYear,A232+1)&lt;&gt;0,INDEX(rngYear,A232+1),"")</f>
        <v>2013</v>
      </c>
      <c r="C232" s="11">
        <f>IFERROR(INDEX(rngData,MATCH($B232,rngYear,0),MATCH(OFFSET(C232,-$A232,0),rngColumnNames,0)),"")</f>
        <v>153</v>
      </c>
      <c r="D232" s="11">
        <f>IFERROR(INDEX(rngData,MATCH($B232,rngYear,0),MATCH(OFFSET(D232,-$A232,0),rngColumnNames,0)),"")</f>
        <v>167.772567</v>
      </c>
      <c r="E232" s="11">
        <f>IFERROR(INDEX(rngData,MATCH($B232,rngYear,0),MATCH(OFFSET(E232,-$A232,0),rngColumnNames,0)),"")</f>
        <v>158.927248</v>
      </c>
      <c r="F232" s="11">
        <f>IFERROR(INDEX(rngData,MATCH($B232,rngYear,0),MATCH(OFFSET(F232,-$A232,0),rngColumnNames,0)),"")</f>
        <v>176.938382</v>
      </c>
      <c r="G232" s="11">
        <f t="shared" si="14"/>
        <v>18.011134</v>
      </c>
    </row>
    <row r="233" hidden="1">
      <c r="A233" s="9">
        <f t="shared" si="15"/>
        <v>35</v>
      </c>
      <c r="B233" s="10">
        <f>IF(INDEX(rngYear,A233+1)&lt;&gt;0,INDEX(rngYear,A233+1),"")</f>
        <v>2014</v>
      </c>
      <c r="C233" s="11">
        <f>IFERROR(INDEX(rngData,MATCH($B233,rngYear,0),MATCH(OFFSET(C233,-$A233,0),rngColumnNames,0)),"")</f>
        <v>155</v>
      </c>
      <c r="D233" s="11">
        <f>IFERROR(INDEX(rngData,MATCH($B233,rngYear,0),MATCH(OFFSET(D233,-$A233,0),rngColumnNames,0)),"")</f>
        <v>184.195876</v>
      </c>
      <c r="E233" s="11">
        <f>IFERROR(INDEX(rngData,MATCH($B233,rngYear,0),MATCH(OFFSET(E233,-$A233,0),rngColumnNames,0)),"")</f>
        <v>176.61052</v>
      </c>
      <c r="F233" s="11">
        <f>IFERROR(INDEX(rngData,MATCH($B233,rngYear,0),MATCH(OFFSET(F233,-$A233,0),rngColumnNames,0)),"")</f>
        <v>191.950603</v>
      </c>
      <c r="G233" s="11">
        <f t="shared" si="14"/>
        <v>15.340082999999993</v>
      </c>
    </row>
    <row r="234" hidden="1">
      <c r="A234" s="9">
        <f t="shared" si="15"/>
        <v>36</v>
      </c>
      <c r="B234" s="10">
        <f>IF(INDEX(rngYear,A234+1)&lt;&gt;0,INDEX(rngYear,A234+1),"")</f>
        <v>2015</v>
      </c>
      <c r="C234" s="11">
        <f>IFERROR(INDEX(rngData,MATCH($B234,rngYear,0),MATCH(OFFSET(C234,-$A234,0),rngColumnNames,0)),"")</f>
        <v>150</v>
      </c>
      <c r="D234" s="11">
        <f>IFERROR(INDEX(rngData,MATCH($B234,rngYear,0),MATCH(OFFSET(D234,-$A234,0),rngColumnNames,0)),"")</f>
        <v>165.388358</v>
      </c>
      <c r="E234" s="11">
        <f>IFERROR(INDEX(rngData,MATCH($B234,rngYear,0),MATCH(OFFSET(E234,-$A234,0),rngColumnNames,0)),"")</f>
        <v>157.744951</v>
      </c>
      <c r="F234" s="11">
        <f>IFERROR(INDEX(rngData,MATCH($B234,rngYear,0),MATCH(OFFSET(F234,-$A234,0),rngColumnNames,0)),"")</f>
        <v>174.090384</v>
      </c>
      <c r="G234" s="11">
        <f t="shared" si="14"/>
        <v>16.345433000000014</v>
      </c>
    </row>
    <row r="235" hidden="1">
      <c r="A235" s="9">
        <f t="shared" si="15"/>
        <v>37</v>
      </c>
      <c r="B235" s="10">
        <f>IF(INDEX(rngYear,A235+1)&lt;&gt;0,INDEX(rngYear,A235+1),"")</f>
        <v>2016</v>
      </c>
      <c r="C235" s="11">
        <f>IFERROR(INDEX(rngData,MATCH($B235,rngYear,0),MATCH(OFFSET(C235,-$A235,0),rngColumnNames,0)),"")</f>
        <v>139</v>
      </c>
      <c r="D235" s="11">
        <f>IFERROR(INDEX(rngData,MATCH($B235,rngYear,0),MATCH(OFFSET(D235,-$A235,0),rngColumnNames,0)),"")</f>
        <v>135.01406</v>
      </c>
      <c r="E235" s="11">
        <f>IFERROR(INDEX(rngData,MATCH($B235,rngYear,0),MATCH(OFFSET(E235,-$A235,0),rngColumnNames,0)),"")</f>
        <v>126.638328</v>
      </c>
      <c r="F235" s="11">
        <f>IFERROR(INDEX(rngData,MATCH($B235,rngYear,0),MATCH(OFFSET(F235,-$A235,0),rngColumnNames,0)),"")</f>
        <v>142.283007</v>
      </c>
      <c r="G235" s="11">
        <f t="shared" si="14"/>
        <v>15.644678999999996</v>
      </c>
    </row>
    <row r="236" hidden="1">
      <c r="A236" s="9">
        <f t="shared" si="15"/>
        <v>38</v>
      </c>
      <c r="B236" s="10">
        <f>IF(INDEX(rngYear,A236+1)&lt;&gt;0,INDEX(rngYear,A236+1),"")</f>
        <v>2017</v>
      </c>
      <c r="C236" s="11">
        <f>IFERROR(INDEX(rngData,MATCH($B236,rngYear,0),MATCH(OFFSET(C236,-$A236,0),rngColumnNames,0)),"")</f>
        <v>134</v>
      </c>
      <c r="D236" s="11">
        <f>IFERROR(INDEX(rngData,MATCH($B236,rngYear,0),MATCH(OFFSET(D236,-$A236,0),rngColumnNames,0)),"")</f>
        <v>141.329544</v>
      </c>
      <c r="E236" s="11">
        <f>IFERROR(INDEX(rngData,MATCH($B236,rngYear,0),MATCH(OFFSET(E236,-$A236,0),rngColumnNames,0)),"")</f>
        <v>130.564881</v>
      </c>
      <c r="F236" s="11">
        <f>IFERROR(INDEX(rngData,MATCH($B236,rngYear,0),MATCH(OFFSET(F236,-$A236,0),rngColumnNames,0)),"")</f>
        <v>149.983082</v>
      </c>
      <c r="G236" s="11">
        <f t="shared" si="14"/>
        <v>19.418200999999982</v>
      </c>
    </row>
    <row r="237" hidden="1">
      <c r="A237" s="9">
        <f t="shared" si="15"/>
        <v>39</v>
      </c>
      <c r="B237" s="10">
        <f>IF(INDEX(rngYear,A237+1)&lt;&gt;0,INDEX(rngYear,A237+1),"")</f>
        <v>2018</v>
      </c>
      <c r="C237" s="11">
        <f>IFERROR(INDEX(rngData,MATCH($B237,rngYear,0),MATCH(OFFSET(C237,-$A237,0),rngColumnNames,0)),"")</f>
        <v>151</v>
      </c>
      <c r="D237" s="11">
        <f>IFERROR(INDEX(rngData,MATCH($B237,rngYear,0),MATCH(OFFSET(D237,-$A237,0),rngColumnNames,0)),"")</f>
        <v>130.376623</v>
      </c>
      <c r="E237" s="11">
        <f>IFERROR(INDEX(rngData,MATCH($B237,rngYear,0),MATCH(OFFSET(E237,-$A237,0),rngColumnNames,0)),"")</f>
        <v>117.323029</v>
      </c>
      <c r="F237" s="11">
        <f>IFERROR(INDEX(rngData,MATCH($B237,rngYear,0),MATCH(OFFSET(F237,-$A237,0),rngColumnNames,0)),"")</f>
        <v>140.473012</v>
      </c>
      <c r="G237" s="11">
        <f t="shared" si="14"/>
        <v>23.149983000000006</v>
      </c>
    </row>
    <row r="238" hidden="1">
      <c r="A238" s="9">
        <f t="shared" si="15"/>
        <v>40</v>
      </c>
      <c r="B238" s="10">
        <f>IF(INDEX(rngYear,A238+1)&lt;&gt;0,INDEX(rngYear,A238+1),"")</f>
        <v>2019</v>
      </c>
      <c r="C238" s="11">
        <f>IFERROR(INDEX(rngData,MATCH($B238,rngYear,0),MATCH(OFFSET(C238,-$A238,0),rngColumnNames,0)),"")</f>
        <v>118</v>
      </c>
      <c r="D238" s="11">
        <f>IFERROR(INDEX(rngData,MATCH($B238,rngYear,0),MATCH(OFFSET(D238,-$A238,0),rngColumnNames,0)),"")</f>
        <v>110.315301</v>
      </c>
      <c r="E238" s="11">
        <f>IFERROR(INDEX(rngData,MATCH($B238,rngYear,0),MATCH(OFFSET(E238,-$A238,0),rngColumnNames,0)),"")</f>
        <v>95.951896</v>
      </c>
      <c r="F238" s="11">
        <f>IFERROR(INDEX(rngData,MATCH($B238,rngYear,0),MATCH(OFFSET(F238,-$A238,0),rngColumnNames,0)),"")</f>
        <v>121.815568</v>
      </c>
      <c r="G238" s="11">
        <f t="shared" si="14"/>
        <v>25.863671999999994</v>
      </c>
    </row>
    <row r="239" hidden="1">
      <c r="A239" s="9">
        <f t="shared" si="15"/>
        <v>41</v>
      </c>
      <c r="B239" s="10">
        <f>IF(INDEX(rngYear,A239+1)&lt;&gt;0,INDEX(rngYear,A239+1),"")</f>
        <v>2020</v>
      </c>
      <c r="C239" s="11">
        <f>IFERROR(INDEX(rngData,MATCH($B239,rngYear,0),MATCH(OFFSET(C239,-$A239,0),rngColumnNames,0)),"")</f>
        <v>90</v>
      </c>
      <c r="D239" s="11">
        <f>IFERROR(INDEX(rngData,MATCH($B239,rngYear,0),MATCH(OFFSET(D239,-$A239,0),rngColumnNames,0)),"")</f>
        <v>86.001243</v>
      </c>
      <c r="E239" s="11">
        <f>IFERROR(INDEX(rngData,MATCH($B239,rngYear,0),MATCH(OFFSET(E239,-$A239,0),rngColumnNames,0)),"")</f>
        <v>74.60508</v>
      </c>
      <c r="F239" s="11">
        <f>IFERROR(INDEX(rngData,MATCH($B239,rngYear,0),MATCH(OFFSET(F239,-$A239,0),rngColumnNames,0)),"")</f>
        <v>99.96303</v>
      </c>
      <c r="G239" s="11">
        <f t="shared" si="14"/>
        <v>25.357950000000002</v>
      </c>
    </row>
    <row r="240" hidden="1">
      <c r="A240" s="9">
        <f t="shared" si="15"/>
        <v>42</v>
      </c>
      <c r="B240" s="10">
        <f>IF(INDEX(rngYear,A240+1)&lt;&gt;0,INDEX(rngYear,A240+1),"")</f>
        <v>2021</v>
      </c>
      <c r="C240" s="11">
        <f>IFERROR(INDEX(rngData,MATCH($B240,rngYear,0),MATCH(OFFSET(C240,-$A240,0),rngColumnNames,0)),"")</f>
        <v>76</v>
      </c>
      <c r="D240" s="11">
        <f>IFERROR(INDEX(rngData,MATCH($B240,rngYear,0),MATCH(OFFSET(D240,-$A240,0),rngColumnNames,0)),"")</f>
        <v>76.663868</v>
      </c>
      <c r="E240" s="11">
        <f>IFERROR(INDEX(rngData,MATCH($B240,rngYear,0),MATCH(OFFSET(E240,-$A240,0),rngColumnNames,0)),"")</f>
        <v>65.541553</v>
      </c>
      <c r="F240" s="11">
        <f>IFERROR(INDEX(rngData,MATCH($B240,rngYear,0),MATCH(OFFSET(F240,-$A240,0),rngColumnNames,0)),"")</f>
        <v>93.384063</v>
      </c>
      <c r="G240" s="11">
        <f t="shared" si="14"/>
        <v>27.842510000000004</v>
      </c>
    </row>
    <row r="241" hidden="1">
      <c r="A241" s="9">
        <f t="shared" si="15"/>
        <v>43</v>
      </c>
      <c r="B241" s="10">
        <f>IF(INDEX(rngYear,A241+1)&lt;&gt;0,INDEX(rngYear,A241+1),"")</f>
        <v>2022</v>
      </c>
      <c r="C241" s="11">
        <f>IFERROR(INDEX(rngData,MATCH($B241,rngYear,0),MATCH(OFFSET(C241,-$A241,0),rngColumnNames,0)),"")</f>
        <v>91</v>
      </c>
      <c r="D241" s="11">
        <f>IFERROR(INDEX(rngData,MATCH($B241,rngYear,0),MATCH(OFFSET(D241,-$A241,0),rngColumnNames,0)),"")</f>
        <v>90.72507</v>
      </c>
      <c r="E241" s="11">
        <f>IFERROR(INDEX(rngData,MATCH($B241,rngYear,0),MATCH(OFFSET(E241,-$A241,0),rngColumnNames,0)),"")</f>
        <v>74.066582</v>
      </c>
      <c r="F241" s="11">
        <f>IFERROR(INDEX(rngData,MATCH($B241,rngYear,0),MATCH(OFFSET(F241,-$A241,0),rngColumnNames,0)),"")</f>
        <v>110.866838</v>
      </c>
      <c r="G241" s="11">
        <f t="shared" si="14"/>
        <v>36.800256000000005</v>
      </c>
    </row>
    <row r="242" hidden="1">
      <c r="A242" s="9">
        <f t="shared" si="15"/>
        <v>44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>IFERROR(INDEX(rngData,MATCH($B242,rngYear,0),MATCH(OFFSET(F242,-$A242,0),rngColumnNames,0)),"")</f>
      </c>
      <c r="G242" s="11">
        <f t="shared" si="14"/>
      </c>
    </row>
    <row r="243" hidden="1">
      <c r="A243" s="9">
        <f t="shared" si="15"/>
        <v>45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>IFERROR(INDEX(rngData,MATCH($B243,rngYear,0),MATCH(OFFSET(F243,-$A243,0),rngColumnNames,0)),"")</f>
      </c>
      <c r="G243" s="11">
        <f t="shared" si="14"/>
      </c>
    </row>
    <row r="244" hidden="1">
      <c r="A244" s="9">
        <f t="shared" si="15"/>
        <v>46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>IFERROR(INDEX(rngData,MATCH($B244,rngYear,0),MATCH(OFFSET(F244,-$A244,0),rngColumnNames,0)),"")</f>
      </c>
      <c r="G244" s="11">
        <f t="shared" si="14"/>
      </c>
    </row>
    <row r="245" hidden="1">
      <c r="A245" s="9">
        <f t="shared" si="15"/>
        <v>47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>IFERROR(INDEX(rngData,MATCH($B245,rngYear,0),MATCH(OFFSET(F245,-$A245,0),rngColumnNames,0)),"")</f>
      </c>
      <c r="G245" s="11">
        <f t="shared" si="14"/>
      </c>
    </row>
    <row r="246" hidden="1">
      <c r="A246" s="9">
        <f t="shared" si="15"/>
        <v>48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>IFERROR(INDEX(rngData,MATCH($B246,rngYear,0),MATCH(OFFSET(F246,-$A246,0),rngColumnNames,0)),"")</f>
      </c>
      <c r="G246" s="11">
        <f t="shared" si="14"/>
      </c>
    </row>
    <row r="247" hidden="1">
      <c r="A247" s="9">
        <f t="shared" si="15"/>
        <v>49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>IFERROR(INDEX(rngData,MATCH($B247,rngYear,0),MATCH(OFFSET(F247,-$A247,0),rngColumnNames,0)),"")</f>
      </c>
      <c r="G247" s="11">
        <f t="shared" si="14"/>
      </c>
    </row>
    <row r="248" hidden="1">
      <c r="A248" s="9">
        <f t="shared" si="15"/>
        <v>50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>IFERROR(INDEX(rngData,MATCH($B248,rngYear,0),MATCH(OFFSET(F248,-$A248,0),rngColumnNames,0)),"")</f>
      </c>
      <c r="G248" s="11">
        <f t="shared" si="14"/>
      </c>
    </row>
    <row r="249" hidden="1">
      <c r="A249" s="9">
        <f t="shared" si="15"/>
        <v>51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>IFERROR(INDEX(rngData,MATCH($B249,rngYear,0),MATCH(OFFSET(F249,-$A249,0),rngColumnNames,0)),"")</f>
      </c>
      <c r="G249" s="11">
        <f t="shared" si="14"/>
      </c>
    </row>
    <row r="250" hidden="1">
      <c r="A250" s="9">
        <f t="shared" si="15"/>
        <v>52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>IFERROR(INDEX(rngData,MATCH($B250,rngYear,0),MATCH(OFFSET(F250,-$A250,0),rngColumnNames,0)),"")</f>
      </c>
      <c r="G250" s="11">
        <f t="shared" si="14"/>
      </c>
    </row>
    <row r="251" hidden="1">
      <c r="A251" s="9">
        <f t="shared" si="15"/>
        <v>53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>IFERROR(INDEX(rngData,MATCH($B251,rngYear,0),MATCH(OFFSET(F251,-$A251,0),rngColumnNames,0)),"")</f>
      </c>
      <c r="G251" s="11">
        <f t="shared" si="14"/>
      </c>
    </row>
    <row r="252" hidden="1">
      <c r="A252" s="9">
        <f t="shared" si="15"/>
        <v>54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>IFERROR(INDEX(rngData,MATCH($B252,rngYear,0),MATCH(OFFSET(F252,-$A252,0),rngColumnNames,0)),"")</f>
      </c>
      <c r="G252" s="11">
        <f t="shared" si="14"/>
      </c>
    </row>
    <row r="253" hidden="1">
      <c r="A253" s="9">
        <f t="shared" si="15"/>
        <v>55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>IFERROR(INDEX(rngData,MATCH($B253,rngYear,0),MATCH(OFFSET(F253,-$A253,0),rngColumnNames,0)),"")</f>
      </c>
      <c r="G253" s="11">
        <f t="shared" si="14"/>
      </c>
    </row>
    <row r="254" hidden="1">
      <c r="A254" s="9">
        <f t="shared" si="15"/>
        <v>56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>IFERROR(INDEX(rngData,MATCH($B254,rngYear,0),MATCH(OFFSET(F254,-$A254,0),rngColumnNames,0)),"")</f>
      </c>
      <c r="G254" s="11">
        <f t="shared" si="14"/>
      </c>
    </row>
    <row r="255" hidden="1">
      <c r="A255" s="9">
        <f t="shared" si="15"/>
        <v>57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>IFERROR(INDEX(rngData,MATCH($B255,rngYear,0),MATCH(OFFSET(F255,-$A255,0),rngColumnNames,0)),"")</f>
      </c>
      <c r="G255" s="11">
        <f t="shared" si="14"/>
      </c>
    </row>
    <row r="256" hidden="1">
      <c r="A256" s="9">
        <f t="shared" si="15"/>
        <v>58</v>
      </c>
      <c r="B256" s="10">
        <f>IF(INDEX(rngYear,A256+1)&lt;&gt;0,INDEX(rngYear,A256+1),"")</f>
      </c>
      <c r="C256" s="11">
        <f>IFERROR(INDEX(rngData,MATCH($B256,rngYear,0),MATCH(OFFSET(C256,-$A256,0),rngColumnNames,0)),"")</f>
      </c>
      <c r="D256" s="11">
        <f>IFERROR(INDEX(rngData,MATCH($B256,rngYear,0),MATCH(OFFSET(D256,-$A256,0),rngColumnNames,0)),"")</f>
      </c>
      <c r="E256" s="11">
        <f>IFERROR(INDEX(rngData,MATCH($B256,rngYear,0),MATCH(OFFSET(E256,-$A256,0),rngColumnNames,0)),"")</f>
      </c>
      <c r="F256" s="11">
        <f>IFERROR(INDEX(rngData,MATCH($B256,rngYear,0),MATCH(OFFSET(F256,-$A256,0),rngColumnNames,0)),"")</f>
      </c>
      <c r="G256" s="11">
        <f t="shared" si="14"/>
      </c>
    </row>
    <row r="257" hidden="1">
      <c r="A257" s="9">
        <f t="shared" si="15"/>
        <v>59</v>
      </c>
      <c r="B257" s="10">
        <f>IF(INDEX(rngYear,A257+1)&lt;&gt;0,INDEX(rngYear,A257+1),"")</f>
      </c>
      <c r="C257" s="11">
        <f>IFERROR(INDEX(rngData,MATCH($B257,rngYear,0),MATCH(OFFSET(C257,-$A257,0),rngColumnNames,0)),"")</f>
      </c>
      <c r="D257" s="11">
        <f>IFERROR(INDEX(rngData,MATCH($B257,rngYear,0),MATCH(OFFSET(D257,-$A257,0),rngColumnNames,0)),"")</f>
      </c>
      <c r="E257" s="11">
        <f>IFERROR(INDEX(rngData,MATCH($B257,rngYear,0),MATCH(OFFSET(E257,-$A257,0),rngColumnNames,0)),"")</f>
      </c>
      <c r="F257" s="11">
        <f>IFERROR(INDEX(rngData,MATCH($B257,rngYear,0),MATCH(OFFSET(F257,-$A257,0),rngColumnNames,0)),"")</f>
      </c>
      <c r="G257" s="11">
        <f t="shared" si="14"/>
      </c>
    </row>
    <row r="258" hidden="1">
      <c r="A258" s="9">
        <f t="shared" si="15"/>
        <v>60</v>
      </c>
      <c r="B258" s="10">
        <f>IF(INDEX(rngYear,A258+1)&lt;&gt;0,INDEX(rngYear,A258+1),"")</f>
      </c>
      <c r="C258" s="11">
        <f>IFERROR(INDEX(rngData,MATCH($B258,rngYear,0),MATCH(OFFSET(C258,-$A258,0),rngColumnNames,0)),"")</f>
      </c>
      <c r="D258" s="11">
        <f>IFERROR(INDEX(rngData,MATCH($B258,rngYear,0),MATCH(OFFSET(D258,-$A258,0),rngColumnNames,0)),"")</f>
      </c>
      <c r="E258" s="11">
        <f>IFERROR(INDEX(rngData,MATCH($B258,rngYear,0),MATCH(OFFSET(E258,-$A258,0),rngColumnNames,0)),"")</f>
      </c>
      <c r="F258" s="11">
        <f>IFERROR(INDEX(rngData,MATCH($B258,rngYear,0),MATCH(OFFSET(F258,-$A258,0),rngColumnNames,0)),"")</f>
      </c>
      <c r="G258" s="11">
        <f t="shared" si="14"/>
      </c>
    </row>
    <row r="260" ht="19.5" customHeight="1">
      <c r="A260" s="16" t="s">
        <v>25</v>
      </c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</row>
    <row r="261" ht="15" customHeight="1">
      <c r="B261" s="4"/>
      <c r="C261" s="5" t="s">
        <v>1</v>
      </c>
      <c r="D261" s="5" t="s">
        <v>2</v>
      </c>
      <c r="E261" s="17" t="s">
        <v>3</v>
      </c>
      <c r="F261" s="18"/>
      <c r="G261" s="19"/>
    </row>
    <row r="262" ht="22.5" customHeight="1">
      <c r="A262" s="6" t="s">
        <v>4</v>
      </c>
      <c r="B262" s="7" t="s">
        <v>5</v>
      </c>
      <c r="C262" s="7" t="s">
        <v>26</v>
      </c>
      <c r="D262" s="7" t="s">
        <v>27</v>
      </c>
      <c r="E262" s="7" t="s">
        <v>28</v>
      </c>
      <c r="F262" s="7" t="s">
        <v>29</v>
      </c>
      <c r="G262" s="8" t="s">
        <v>3</v>
      </c>
    </row>
    <row r="263">
      <c r="A263" s="9">
        <v>1</v>
      </c>
      <c r="B263" s="10">
        <f>IF(INDEX(rngYear,A263+1)&lt;&gt;0,INDEX(rngYear,A263+1),"")</f>
        <v>1980</v>
      </c>
      <c r="C263" s="11">
        <f>IFERROR(INDEX(rngData,MATCH($B263,rngYear,0),MATCH(OFFSET(C263,-$A263,0),rngColumnNames,0)),"")</f>
        <v>0</v>
      </c>
      <c r="D263" s="11">
        <f>IFERROR(INDEX(rngData,MATCH($B263,rngYear,0),MATCH(OFFSET(D263,-$A263,0),rngColumnNames,0)),"")</f>
        <v>0</v>
      </c>
      <c r="E263" s="11">
        <f>IFERROR(INDEX(rngData,MATCH($B263,rngYear,0),MATCH(OFFSET(E263,-$A263,0),rngColumnNames,0)),"")</f>
        <v>0</v>
      </c>
      <c r="F263" s="11">
        <f>IFERROR(INDEX(rngData,MATCH($B263,rngYear,0),MATCH(OFFSET(F263,-$A263,0),rngColumnNames,0)),"")</f>
        <v>0</v>
      </c>
      <c r="G263" s="11">
        <f ref="G263:G294" t="shared" si="16">IFERROR(F263-E263,"")</f>
        <v>0</v>
      </c>
    </row>
    <row r="264">
      <c r="A264" s="9">
        <f ref="A264:A295" t="shared" si="17">A263+1</f>
        <v>2</v>
      </c>
      <c r="B264" s="10">
        <f>IF(INDEX(rngYear,A264+1)&lt;&gt;0,INDEX(rngYear,A264+1),"")</f>
        <v>1981</v>
      </c>
      <c r="C264" s="11">
        <f>IFERROR(INDEX(rngData,MATCH($B264,rngYear,0),MATCH(OFFSET(C264,-$A264,0),rngColumnNames,0)),"")</f>
        <v>0</v>
      </c>
      <c r="D264" s="11">
        <f>IFERROR(INDEX(rngData,MATCH($B264,rngYear,0),MATCH(OFFSET(D264,-$A264,0),rngColumnNames,0)),"")</f>
        <v>0</v>
      </c>
      <c r="E264" s="11">
        <f>IFERROR(INDEX(rngData,MATCH($B264,rngYear,0),MATCH(OFFSET(E264,-$A264,0),rngColumnNames,0)),"")</f>
        <v>0</v>
      </c>
      <c r="F264" s="11">
        <f>IFERROR(INDEX(rngData,MATCH($B264,rngYear,0),MATCH(OFFSET(F264,-$A264,0),rngColumnNames,0)),"")</f>
        <v>0</v>
      </c>
      <c r="G264" s="11">
        <f t="shared" si="16"/>
        <v>0</v>
      </c>
    </row>
    <row r="265">
      <c r="A265" s="9">
        <f t="shared" si="17"/>
        <v>3</v>
      </c>
      <c r="B265" s="10">
        <f>IF(INDEX(rngYear,A265+1)&lt;&gt;0,INDEX(rngYear,A265+1),"")</f>
        <v>1982</v>
      </c>
      <c r="C265" s="11">
        <f>IFERROR(INDEX(rngData,MATCH($B265,rngYear,0),MATCH(OFFSET(C265,-$A265,0),rngColumnNames,0)),"")</f>
        <v>1</v>
      </c>
      <c r="D265" s="11">
        <f>IFERROR(INDEX(rngData,MATCH($B265,rngYear,0),MATCH(OFFSET(D265,-$A265,0),rngColumnNames,0)),"")</f>
        <v>0</v>
      </c>
      <c r="E265" s="11">
        <f>IFERROR(INDEX(rngData,MATCH($B265,rngYear,0),MATCH(OFFSET(E265,-$A265,0),rngColumnNames,0)),"")</f>
        <v>0</v>
      </c>
      <c r="F265" s="11">
        <f>IFERROR(INDEX(rngData,MATCH($B265,rngYear,0),MATCH(OFFSET(F265,-$A265,0),rngColumnNames,0)),"")</f>
        <v>0</v>
      </c>
      <c r="G265" s="11">
        <f t="shared" si="16"/>
        <v>0</v>
      </c>
    </row>
    <row r="266">
      <c r="A266" s="9">
        <f t="shared" si="17"/>
        <v>4</v>
      </c>
      <c r="B266" s="10">
        <f>IF(INDEX(rngYear,A266+1)&lt;&gt;0,INDEX(rngYear,A266+1),"")</f>
        <v>1983</v>
      </c>
      <c r="C266" s="11">
        <f>IFERROR(INDEX(rngData,MATCH($B266,rngYear,0),MATCH(OFFSET(C266,-$A266,0),rngColumnNames,0)),"")</f>
        <v>1</v>
      </c>
      <c r="D266" s="11">
        <f>IFERROR(INDEX(rngData,MATCH($B266,rngYear,0),MATCH(OFFSET(D266,-$A266,0),rngColumnNames,0)),"")</f>
        <v>0</v>
      </c>
      <c r="E266" s="11">
        <f>IFERROR(INDEX(rngData,MATCH($B266,rngYear,0),MATCH(OFFSET(E266,-$A266,0),rngColumnNames,0)),"")</f>
        <v>0</v>
      </c>
      <c r="F266" s="11">
        <f>IFERROR(INDEX(rngData,MATCH($B266,rngYear,0),MATCH(OFFSET(F266,-$A266,0),rngColumnNames,0)),"")</f>
        <v>0</v>
      </c>
      <c r="G266" s="11">
        <f t="shared" si="16"/>
        <v>0</v>
      </c>
    </row>
    <row r="267">
      <c r="A267" s="9">
        <f t="shared" si="17"/>
        <v>5</v>
      </c>
      <c r="B267" s="10">
        <f>IF(INDEX(rngYear,A267+1)&lt;&gt;0,INDEX(rngYear,A267+1),"")</f>
        <v>1984</v>
      </c>
      <c r="C267" s="11">
        <f>IFERROR(INDEX(rngData,MATCH($B267,rngYear,0),MATCH(OFFSET(C267,-$A267,0),rngColumnNames,0)),"")</f>
        <v>45</v>
      </c>
      <c r="D267" s="11">
        <f>IFERROR(INDEX(rngData,MATCH($B267,rngYear,0),MATCH(OFFSET(D267,-$A267,0),rngColumnNames,0)),"")</f>
        <v>24.817553</v>
      </c>
      <c r="E267" s="11">
        <f>IFERROR(INDEX(rngData,MATCH($B267,rngYear,0),MATCH(OFFSET(E267,-$A267,0),rngColumnNames,0)),"")</f>
        <v>18.854183</v>
      </c>
      <c r="F267" s="11">
        <f>IFERROR(INDEX(rngData,MATCH($B267,rngYear,0),MATCH(OFFSET(F267,-$A267,0),rngColumnNames,0)),"")</f>
        <v>29.848084</v>
      </c>
      <c r="G267" s="11">
        <f t="shared" si="16"/>
        <v>10.993901000000001</v>
      </c>
    </row>
    <row r="268">
      <c r="A268" s="9">
        <f t="shared" si="17"/>
        <v>6</v>
      </c>
      <c r="B268" s="10">
        <f>IF(INDEX(rngYear,A268+1)&lt;&gt;0,INDEX(rngYear,A268+1),"")</f>
        <v>1985</v>
      </c>
      <c r="C268" s="11">
        <f>IFERROR(INDEX(rngData,MATCH($B268,rngYear,0),MATCH(OFFSET(C268,-$A268,0),rngColumnNames,0)),"")</f>
        <v>76</v>
      </c>
      <c r="D268" s="11">
        <f>IFERROR(INDEX(rngData,MATCH($B268,rngYear,0),MATCH(OFFSET(D268,-$A268,0),rngColumnNames,0)),"")</f>
        <v>14.272896</v>
      </c>
      <c r="E268" s="11">
        <f>IFERROR(INDEX(rngData,MATCH($B268,rngYear,0),MATCH(OFFSET(E268,-$A268,0),rngColumnNames,0)),"")</f>
        <v>10.327657</v>
      </c>
      <c r="F268" s="11">
        <f>IFERROR(INDEX(rngData,MATCH($B268,rngYear,0),MATCH(OFFSET(F268,-$A268,0),rngColumnNames,0)),"")</f>
        <v>17.55568</v>
      </c>
      <c r="G268" s="11">
        <f t="shared" si="16"/>
        <v>7.2280229999999985</v>
      </c>
    </row>
    <row r="269">
      <c r="A269" s="9">
        <f t="shared" si="17"/>
        <v>7</v>
      </c>
      <c r="B269" s="10">
        <f>IF(INDEX(rngYear,A269+1)&lt;&gt;0,INDEX(rngYear,A269+1),"")</f>
        <v>1986</v>
      </c>
      <c r="C269" s="11">
        <f>IFERROR(INDEX(rngData,MATCH($B269,rngYear,0),MATCH(OFFSET(C269,-$A269,0),rngColumnNames,0)),"")</f>
        <v>43</v>
      </c>
      <c r="D269" s="11">
        <f>IFERROR(INDEX(rngData,MATCH($B269,rngYear,0),MATCH(OFFSET(D269,-$A269,0),rngColumnNames,0)),"")</f>
        <v>11.241915</v>
      </c>
      <c r="E269" s="11">
        <f>IFERROR(INDEX(rngData,MATCH($B269,rngYear,0),MATCH(OFFSET(E269,-$A269,0),rngColumnNames,0)),"")</f>
        <v>7.663296</v>
      </c>
      <c r="F269" s="11">
        <f>IFERROR(INDEX(rngData,MATCH($B269,rngYear,0),MATCH(OFFSET(F269,-$A269,0),rngColumnNames,0)),"")</f>
        <v>14.666462</v>
      </c>
      <c r="G269" s="11">
        <f t="shared" si="16"/>
        <v>7.0031659999999993</v>
      </c>
    </row>
    <row r="270">
      <c r="A270" s="9">
        <f t="shared" si="17"/>
        <v>8</v>
      </c>
      <c r="B270" s="10">
        <f>IF(INDEX(rngYear,A270+1)&lt;&gt;0,INDEX(rngYear,A270+1),"")</f>
        <v>1987</v>
      </c>
      <c r="C270" s="11">
        <f>IFERROR(INDEX(rngData,MATCH($B270,rngYear,0),MATCH(OFFSET(C270,-$A270,0),rngColumnNames,0)),"")</f>
        <v>30</v>
      </c>
      <c r="D270" s="11">
        <f>IFERROR(INDEX(rngData,MATCH($B270,rngYear,0),MATCH(OFFSET(D270,-$A270,0),rngColumnNames,0)),"")</f>
        <v>10.014901</v>
      </c>
      <c r="E270" s="11">
        <f>IFERROR(INDEX(rngData,MATCH($B270,rngYear,0),MATCH(OFFSET(E270,-$A270,0),rngColumnNames,0)),"")</f>
        <v>7.267702</v>
      </c>
      <c r="F270" s="11">
        <f>IFERROR(INDEX(rngData,MATCH($B270,rngYear,0),MATCH(OFFSET(F270,-$A270,0),rngColumnNames,0)),"")</f>
        <v>13.302904</v>
      </c>
      <c r="G270" s="11">
        <f t="shared" si="16"/>
        <v>6.035202</v>
      </c>
    </row>
    <row r="271">
      <c r="A271" s="9">
        <f t="shared" si="17"/>
        <v>9</v>
      </c>
      <c r="B271" s="10">
        <f>IF(INDEX(rngYear,A271+1)&lt;&gt;0,INDEX(rngYear,A271+1),"")</f>
        <v>1988</v>
      </c>
      <c r="C271" s="11">
        <f>IFERROR(INDEX(rngData,MATCH($B271,rngYear,0),MATCH(OFFSET(C271,-$A271,0),rngColumnNames,0)),"")</f>
        <v>45</v>
      </c>
      <c r="D271" s="11">
        <f>IFERROR(INDEX(rngData,MATCH($B271,rngYear,0),MATCH(OFFSET(D271,-$A271,0),rngColumnNames,0)),"")</f>
        <v>15.565043</v>
      </c>
      <c r="E271" s="11">
        <f>IFERROR(INDEX(rngData,MATCH($B271,rngYear,0),MATCH(OFFSET(E271,-$A271,0),rngColumnNames,0)),"")</f>
        <v>12.166161</v>
      </c>
      <c r="F271" s="11">
        <f>IFERROR(INDEX(rngData,MATCH($B271,rngYear,0),MATCH(OFFSET(F271,-$A271,0),rngColumnNames,0)),"")</f>
        <v>19.176905</v>
      </c>
      <c r="G271" s="11">
        <f t="shared" si="16"/>
        <v>7.0107440000000008</v>
      </c>
    </row>
    <row r="272">
      <c r="A272" s="9">
        <f t="shared" si="17"/>
        <v>10</v>
      </c>
      <c r="B272" s="10">
        <f>IF(INDEX(rngYear,A272+1)&lt;&gt;0,INDEX(rngYear,A272+1),"")</f>
        <v>1989</v>
      </c>
      <c r="C272" s="11">
        <f>IFERROR(INDEX(rngData,MATCH($B272,rngYear,0),MATCH(OFFSET(C272,-$A272,0),rngColumnNames,0)),"")</f>
        <v>54</v>
      </c>
      <c r="D272" s="11">
        <f>IFERROR(INDEX(rngData,MATCH($B272,rngYear,0),MATCH(OFFSET(D272,-$A272,0),rngColumnNames,0)),"")</f>
        <v>19.70446</v>
      </c>
      <c r="E272" s="11">
        <f>IFERROR(INDEX(rngData,MATCH($B272,rngYear,0),MATCH(OFFSET(E272,-$A272,0),rngColumnNames,0)),"")</f>
        <v>15.938688</v>
      </c>
      <c r="F272" s="11">
        <f>IFERROR(INDEX(rngData,MATCH($B272,rngYear,0),MATCH(OFFSET(F272,-$A272,0),rngColumnNames,0)),"")</f>
        <v>24.058164</v>
      </c>
      <c r="G272" s="11">
        <f t="shared" si="16"/>
        <v>8.119476</v>
      </c>
    </row>
    <row r="273">
      <c r="A273" s="9">
        <f t="shared" si="17"/>
        <v>11</v>
      </c>
      <c r="B273" s="10">
        <f>IF(INDEX(rngYear,A273+1)&lt;&gt;0,INDEX(rngYear,A273+1),"")</f>
        <v>1990</v>
      </c>
      <c r="C273" s="11">
        <f>IFERROR(INDEX(rngData,MATCH($B273,rngYear,0),MATCH(OFFSET(C273,-$A273,0),rngColumnNames,0)),"")</f>
        <v>37</v>
      </c>
      <c r="D273" s="11">
        <f>IFERROR(INDEX(rngData,MATCH($B273,rngYear,0),MATCH(OFFSET(D273,-$A273,0),rngColumnNames,0)),"")</f>
        <v>19.208797</v>
      </c>
      <c r="E273" s="11">
        <f>IFERROR(INDEX(rngData,MATCH($B273,rngYear,0),MATCH(OFFSET(E273,-$A273,0),rngColumnNames,0)),"")</f>
        <v>15.303293</v>
      </c>
      <c r="F273" s="11">
        <f>IFERROR(INDEX(rngData,MATCH($B273,rngYear,0),MATCH(OFFSET(F273,-$A273,0),rngColumnNames,0)),"")</f>
        <v>22.774966</v>
      </c>
      <c r="G273" s="11">
        <f t="shared" si="16"/>
        <v>7.4716729999999991</v>
      </c>
    </row>
    <row r="274">
      <c r="A274" s="9">
        <f t="shared" si="17"/>
        <v>12</v>
      </c>
      <c r="B274" s="10">
        <f>IF(INDEX(rngYear,A274+1)&lt;&gt;0,INDEX(rngYear,A274+1),"")</f>
        <v>1991</v>
      </c>
      <c r="C274" s="11">
        <f>IFERROR(INDEX(rngData,MATCH($B274,rngYear,0),MATCH(OFFSET(C274,-$A274,0),rngColumnNames,0)),"")</f>
        <v>39</v>
      </c>
      <c r="D274" s="11">
        <f>IFERROR(INDEX(rngData,MATCH($B274,rngYear,0),MATCH(OFFSET(D274,-$A274,0),rngColumnNames,0)),"")</f>
        <v>17.419124</v>
      </c>
      <c r="E274" s="11">
        <f>IFERROR(INDEX(rngData,MATCH($B274,rngYear,0),MATCH(OFFSET(E274,-$A274,0),rngColumnNames,0)),"")</f>
        <v>13.803124</v>
      </c>
      <c r="F274" s="11">
        <f>IFERROR(INDEX(rngData,MATCH($B274,rngYear,0),MATCH(OFFSET(F274,-$A274,0),rngColumnNames,0)),"")</f>
        <v>21.960079</v>
      </c>
      <c r="G274" s="11">
        <f t="shared" si="16"/>
        <v>8.156955</v>
      </c>
    </row>
    <row r="275">
      <c r="A275" s="9">
        <f t="shared" si="17"/>
        <v>13</v>
      </c>
      <c r="B275" s="10">
        <f>IF(INDEX(rngYear,A275+1)&lt;&gt;0,INDEX(rngYear,A275+1),"")</f>
        <v>1992</v>
      </c>
      <c r="C275" s="11">
        <f>IFERROR(INDEX(rngData,MATCH($B275,rngYear,0),MATCH(OFFSET(C275,-$A275,0),rngColumnNames,0)),"")</f>
        <v>64</v>
      </c>
      <c r="D275" s="11">
        <f>IFERROR(INDEX(rngData,MATCH($B275,rngYear,0),MATCH(OFFSET(D275,-$A275,0),rngColumnNames,0)),"")</f>
        <v>46.156029</v>
      </c>
      <c r="E275" s="11">
        <f>IFERROR(INDEX(rngData,MATCH($B275,rngYear,0),MATCH(OFFSET(E275,-$A275,0),rngColumnNames,0)),"")</f>
        <v>40.209432</v>
      </c>
      <c r="F275" s="11">
        <f>IFERROR(INDEX(rngData,MATCH($B275,rngYear,0),MATCH(OFFSET(F275,-$A275,0),rngColumnNames,0)),"")</f>
        <v>51.406457</v>
      </c>
      <c r="G275" s="11">
        <f t="shared" si="16"/>
        <v>11.197025000000004</v>
      </c>
    </row>
    <row r="276">
      <c r="A276" s="9">
        <f t="shared" si="17"/>
        <v>14</v>
      </c>
      <c r="B276" s="10">
        <f>IF(INDEX(rngYear,A276+1)&lt;&gt;0,INDEX(rngYear,A276+1),"")</f>
        <v>1993</v>
      </c>
      <c r="C276" s="11">
        <f>IFERROR(INDEX(rngData,MATCH($B276,rngYear,0),MATCH(OFFSET(C276,-$A276,0),rngColumnNames,0)),"")</f>
        <v>56</v>
      </c>
      <c r="D276" s="11">
        <f>IFERROR(INDEX(rngData,MATCH($B276,rngYear,0),MATCH(OFFSET(D276,-$A276,0),rngColumnNames,0)),"")</f>
        <v>70.622262</v>
      </c>
      <c r="E276" s="11">
        <f>IFERROR(INDEX(rngData,MATCH($B276,rngYear,0),MATCH(OFFSET(E276,-$A276,0),rngColumnNames,0)),"")</f>
        <v>62.706258</v>
      </c>
      <c r="F276" s="11">
        <f>IFERROR(INDEX(rngData,MATCH($B276,rngYear,0),MATCH(OFFSET(F276,-$A276,0),rngColumnNames,0)),"")</f>
        <v>77.882618</v>
      </c>
      <c r="G276" s="11">
        <f t="shared" si="16"/>
        <v>15.176359999999995</v>
      </c>
    </row>
    <row r="277">
      <c r="A277" s="9">
        <f t="shared" si="17"/>
        <v>15</v>
      </c>
      <c r="B277" s="10">
        <f>IF(INDEX(rngYear,A277+1)&lt;&gt;0,INDEX(rngYear,A277+1),"")</f>
        <v>1994</v>
      </c>
      <c r="C277" s="11">
        <f>IFERROR(INDEX(rngData,MATCH($B277,rngYear,0),MATCH(OFFSET(C277,-$A277,0),rngColumnNames,0)),"")</f>
        <v>63</v>
      </c>
      <c r="D277" s="11">
        <f>IFERROR(INDEX(rngData,MATCH($B277,rngYear,0),MATCH(OFFSET(D277,-$A277,0),rngColumnNames,0)),"")</f>
        <v>116.497426</v>
      </c>
      <c r="E277" s="11">
        <f>IFERROR(INDEX(rngData,MATCH($B277,rngYear,0),MATCH(OFFSET(E277,-$A277,0),rngColumnNames,0)),"")</f>
        <v>106.771511</v>
      </c>
      <c r="F277" s="11">
        <f>IFERROR(INDEX(rngData,MATCH($B277,rngYear,0),MATCH(OFFSET(F277,-$A277,0),rngColumnNames,0)),"")</f>
        <v>127.241337</v>
      </c>
      <c r="G277" s="11">
        <f t="shared" si="16"/>
        <v>20.469825999999998</v>
      </c>
    </row>
    <row r="278">
      <c r="A278" s="9">
        <f t="shared" si="17"/>
        <v>16</v>
      </c>
      <c r="B278" s="10">
        <f>IF(INDEX(rngYear,A278+1)&lt;&gt;0,INDEX(rngYear,A278+1),"")</f>
        <v>1995</v>
      </c>
      <c r="C278" s="11">
        <f>IFERROR(INDEX(rngData,MATCH($B278,rngYear,0),MATCH(OFFSET(C278,-$A278,0),rngColumnNames,0)),"")</f>
        <v>51</v>
      </c>
      <c r="D278" s="11">
        <f>IFERROR(INDEX(rngData,MATCH($B278,rngYear,0),MATCH(OFFSET(D278,-$A278,0),rngColumnNames,0)),"")</f>
        <v>81.075254</v>
      </c>
      <c r="E278" s="11">
        <f>IFERROR(INDEX(rngData,MATCH($B278,rngYear,0),MATCH(OFFSET(E278,-$A278,0),rngColumnNames,0)),"")</f>
        <v>73.092344</v>
      </c>
      <c r="F278" s="11">
        <f>IFERROR(INDEX(rngData,MATCH($B278,rngYear,0),MATCH(OFFSET(F278,-$A278,0),rngColumnNames,0)),"")</f>
        <v>87.359013</v>
      </c>
      <c r="G278" s="11">
        <f t="shared" si="16"/>
        <v>14.266669000000007</v>
      </c>
    </row>
    <row r="279">
      <c r="A279" s="9">
        <f t="shared" si="17"/>
        <v>17</v>
      </c>
      <c r="B279" s="10">
        <f>IF(INDEX(rngYear,A279+1)&lt;&gt;0,INDEX(rngYear,A279+1),"")</f>
        <v>1996</v>
      </c>
      <c r="C279" s="11">
        <f>IFERROR(INDEX(rngData,MATCH($B279,rngYear,0),MATCH(OFFSET(C279,-$A279,0),rngColumnNames,0)),"")</f>
        <v>78</v>
      </c>
      <c r="D279" s="11">
        <f>IFERROR(INDEX(rngData,MATCH($B279,rngYear,0),MATCH(OFFSET(D279,-$A279,0),rngColumnNames,0)),"")</f>
        <v>89.665711</v>
      </c>
      <c r="E279" s="11">
        <f>IFERROR(INDEX(rngData,MATCH($B279,rngYear,0),MATCH(OFFSET(E279,-$A279,0),rngColumnNames,0)),"")</f>
        <v>80.959842</v>
      </c>
      <c r="F279" s="11">
        <f>IFERROR(INDEX(rngData,MATCH($B279,rngYear,0),MATCH(OFFSET(F279,-$A279,0),rngColumnNames,0)),"")</f>
        <v>96.606601</v>
      </c>
      <c r="G279" s="11">
        <f t="shared" si="16"/>
        <v>15.646759000000003</v>
      </c>
    </row>
    <row r="280">
      <c r="A280" s="9">
        <f t="shared" si="17"/>
        <v>18</v>
      </c>
      <c r="B280" s="10">
        <f>IF(INDEX(rngYear,A280+1)&lt;&gt;0,INDEX(rngYear,A280+1),"")</f>
        <v>1997</v>
      </c>
      <c r="C280" s="11">
        <f>IFERROR(INDEX(rngData,MATCH($B280,rngYear,0),MATCH(OFFSET(C280,-$A280,0),rngColumnNames,0)),"")</f>
        <v>76</v>
      </c>
      <c r="D280" s="11">
        <f>IFERROR(INDEX(rngData,MATCH($B280,rngYear,0),MATCH(OFFSET(D280,-$A280,0),rngColumnNames,0)),"")</f>
        <v>90.410094</v>
      </c>
      <c r="E280" s="11">
        <f>IFERROR(INDEX(rngData,MATCH($B280,rngYear,0),MATCH(OFFSET(E280,-$A280,0),rngColumnNames,0)),"")</f>
        <v>83.105405</v>
      </c>
      <c r="F280" s="11">
        <f>IFERROR(INDEX(rngData,MATCH($B280,rngYear,0),MATCH(OFFSET(F280,-$A280,0),rngColumnNames,0)),"")</f>
        <v>97.499528</v>
      </c>
      <c r="G280" s="11">
        <f t="shared" si="16"/>
        <v>14.394122999999993</v>
      </c>
    </row>
    <row r="281">
      <c r="A281" s="9">
        <f t="shared" si="17"/>
        <v>19</v>
      </c>
      <c r="B281" s="10">
        <f>IF(INDEX(rngYear,A281+1)&lt;&gt;0,INDEX(rngYear,A281+1),"")</f>
        <v>1998</v>
      </c>
      <c r="C281" s="11">
        <f>IFERROR(INDEX(rngData,MATCH($B281,rngYear,0),MATCH(OFFSET(C281,-$A281,0),rngColumnNames,0)),"")</f>
        <v>56</v>
      </c>
      <c r="D281" s="11">
        <f>IFERROR(INDEX(rngData,MATCH($B281,rngYear,0),MATCH(OFFSET(D281,-$A281,0),rngColumnNames,0)),"")</f>
        <v>78.053631</v>
      </c>
      <c r="E281" s="11">
        <f>IFERROR(INDEX(rngData,MATCH($B281,rngYear,0),MATCH(OFFSET(E281,-$A281,0),rngColumnNames,0)),"")</f>
        <v>71.436525</v>
      </c>
      <c r="F281" s="11">
        <f>IFERROR(INDEX(rngData,MATCH($B281,rngYear,0),MATCH(OFFSET(F281,-$A281,0),rngColumnNames,0)),"")</f>
        <v>85.156779</v>
      </c>
      <c r="G281" s="11">
        <f t="shared" si="16"/>
        <v>13.720253999999997</v>
      </c>
    </row>
    <row r="282">
      <c r="A282" s="9">
        <f t="shared" si="17"/>
        <v>20</v>
      </c>
      <c r="B282" s="10">
        <f>IF(INDEX(rngYear,A282+1)&lt;&gt;0,INDEX(rngYear,A282+1),"")</f>
        <v>1999</v>
      </c>
      <c r="C282" s="11">
        <f>IFERROR(INDEX(rngData,MATCH($B282,rngYear,0),MATCH(OFFSET(C282,-$A282,0),rngColumnNames,0)),"")</f>
        <v>57</v>
      </c>
      <c r="D282" s="11">
        <f>IFERROR(INDEX(rngData,MATCH($B282,rngYear,0),MATCH(OFFSET(D282,-$A282,0),rngColumnNames,0)),"")</f>
        <v>60.744337</v>
      </c>
      <c r="E282" s="11">
        <f>IFERROR(INDEX(rngData,MATCH($B282,rngYear,0),MATCH(OFFSET(E282,-$A282,0),rngColumnNames,0)),"")</f>
        <v>56.102057</v>
      </c>
      <c r="F282" s="11">
        <f>IFERROR(INDEX(rngData,MATCH($B282,rngYear,0),MATCH(OFFSET(F282,-$A282,0),rngColumnNames,0)),"")</f>
        <v>67.063435</v>
      </c>
      <c r="G282" s="11">
        <f t="shared" si="16"/>
        <v>10.961377999999996</v>
      </c>
    </row>
    <row r="283">
      <c r="A283" s="9">
        <f t="shared" si="17"/>
        <v>21</v>
      </c>
      <c r="B283" s="10">
        <f>IF(INDEX(rngYear,A283+1)&lt;&gt;0,INDEX(rngYear,A283+1),"")</f>
        <v>2000</v>
      </c>
      <c r="C283" s="11">
        <f>IFERROR(INDEX(rngData,MATCH($B283,rngYear,0),MATCH(OFFSET(C283,-$A283,0),rngColumnNames,0)),"")</f>
        <v>83</v>
      </c>
      <c r="D283" s="11">
        <f>IFERROR(INDEX(rngData,MATCH($B283,rngYear,0),MATCH(OFFSET(D283,-$A283,0),rngColumnNames,0)),"")</f>
        <v>69.293052</v>
      </c>
      <c r="E283" s="11">
        <f>IFERROR(INDEX(rngData,MATCH($B283,rngYear,0),MATCH(OFFSET(E283,-$A283,0),rngColumnNames,0)),"")</f>
        <v>63.714966</v>
      </c>
      <c r="F283" s="11">
        <f>IFERROR(INDEX(rngData,MATCH($B283,rngYear,0),MATCH(OFFSET(F283,-$A283,0),rngColumnNames,0)),"")</f>
        <v>75.730457</v>
      </c>
      <c r="G283" s="11">
        <f t="shared" si="16"/>
        <v>12.015491000000004</v>
      </c>
    </row>
    <row r="284">
      <c r="A284" s="9">
        <f t="shared" si="17"/>
        <v>22</v>
      </c>
      <c r="B284" s="10">
        <f>IF(INDEX(rngYear,A284+1)&lt;&gt;0,INDEX(rngYear,A284+1),"")</f>
        <v>2001</v>
      </c>
      <c r="C284" s="11">
        <f>IFERROR(INDEX(rngData,MATCH($B284,rngYear,0),MATCH(OFFSET(C284,-$A284,0),rngColumnNames,0)),"")</f>
        <v>80</v>
      </c>
      <c r="D284" s="11">
        <f>IFERROR(INDEX(rngData,MATCH($B284,rngYear,0),MATCH(OFFSET(D284,-$A284,0),rngColumnNames,0)),"")</f>
        <v>57.375623</v>
      </c>
      <c r="E284" s="11">
        <f>IFERROR(INDEX(rngData,MATCH($B284,rngYear,0),MATCH(OFFSET(E284,-$A284,0),rngColumnNames,0)),"")</f>
        <v>51.330584</v>
      </c>
      <c r="F284" s="11">
        <f>IFERROR(INDEX(rngData,MATCH($B284,rngYear,0),MATCH(OFFSET(F284,-$A284,0),rngColumnNames,0)),"")</f>
        <v>65.281429</v>
      </c>
      <c r="G284" s="11">
        <f t="shared" si="16"/>
        <v>13.950845000000001</v>
      </c>
    </row>
    <row r="285">
      <c r="A285" s="9">
        <f t="shared" si="17"/>
        <v>23</v>
      </c>
      <c r="B285" s="10">
        <f>IF(INDEX(rngYear,A285+1)&lt;&gt;0,INDEX(rngYear,A285+1),"")</f>
        <v>2002</v>
      </c>
      <c r="C285" s="11">
        <f>IFERROR(INDEX(rngData,MATCH($B285,rngYear,0),MATCH(OFFSET(C285,-$A285,0),rngColumnNames,0)),"")</f>
        <v>68</v>
      </c>
      <c r="D285" s="11">
        <f>IFERROR(INDEX(rngData,MATCH($B285,rngYear,0),MATCH(OFFSET(D285,-$A285,0),rngColumnNames,0)),"")</f>
        <v>56.088584</v>
      </c>
      <c r="E285" s="11">
        <f>IFERROR(INDEX(rngData,MATCH($B285,rngYear,0),MATCH(OFFSET(E285,-$A285,0),rngColumnNames,0)),"")</f>
        <v>49.822341</v>
      </c>
      <c r="F285" s="11">
        <f>IFERROR(INDEX(rngData,MATCH($B285,rngYear,0),MATCH(OFFSET(F285,-$A285,0),rngColumnNames,0)),"")</f>
        <v>62.614568</v>
      </c>
      <c r="G285" s="11">
        <f t="shared" si="16"/>
        <v>12.792226999999997</v>
      </c>
    </row>
    <row r="286">
      <c r="A286" s="9">
        <f t="shared" si="17"/>
        <v>24</v>
      </c>
      <c r="B286" s="10">
        <f>IF(INDEX(rngYear,A286+1)&lt;&gt;0,INDEX(rngYear,A286+1),"")</f>
        <v>2003</v>
      </c>
      <c r="C286" s="11">
        <f>IFERROR(INDEX(rngData,MATCH($B286,rngYear,0),MATCH(OFFSET(C286,-$A286,0),rngColumnNames,0)),"")</f>
        <v>73</v>
      </c>
      <c r="D286" s="11">
        <f>IFERROR(INDEX(rngData,MATCH($B286,rngYear,0),MATCH(OFFSET(D286,-$A286,0),rngColumnNames,0)),"")</f>
        <v>63.213462</v>
      </c>
      <c r="E286" s="11">
        <f>IFERROR(INDEX(rngData,MATCH($B286,rngYear,0),MATCH(OFFSET(E286,-$A286,0),rngColumnNames,0)),"")</f>
        <v>57.036028</v>
      </c>
      <c r="F286" s="11">
        <f>IFERROR(INDEX(rngData,MATCH($B286,rngYear,0),MATCH(OFFSET(F286,-$A286,0),rngColumnNames,0)),"")</f>
        <v>69.170559</v>
      </c>
      <c r="G286" s="11">
        <f t="shared" si="16"/>
        <v>12.134530999999996</v>
      </c>
    </row>
    <row r="287">
      <c r="A287" s="9">
        <f t="shared" si="17"/>
        <v>25</v>
      </c>
      <c r="B287" s="10">
        <f>IF(INDEX(rngYear,A287+1)&lt;&gt;0,INDEX(rngYear,A287+1),"")</f>
        <v>2004</v>
      </c>
      <c r="C287" s="11">
        <f>IFERROR(INDEX(rngData,MATCH($B287,rngYear,0),MATCH(OFFSET(C287,-$A287,0),rngColumnNames,0)),"")</f>
        <v>72</v>
      </c>
      <c r="D287" s="11">
        <f>IFERROR(INDEX(rngData,MATCH($B287,rngYear,0),MATCH(OFFSET(D287,-$A287,0),rngColumnNames,0)),"")</f>
        <v>70.010173</v>
      </c>
      <c r="E287" s="11">
        <f>IFERROR(INDEX(rngData,MATCH($B287,rngYear,0),MATCH(OFFSET(E287,-$A287,0),rngColumnNames,0)),"")</f>
        <v>64.311653</v>
      </c>
      <c r="F287" s="11">
        <f>IFERROR(INDEX(rngData,MATCH($B287,rngYear,0),MATCH(OFFSET(F287,-$A287,0),rngColumnNames,0)),"")</f>
        <v>75.335518</v>
      </c>
      <c r="G287" s="11">
        <f t="shared" si="16"/>
        <v>11.023864999999987</v>
      </c>
    </row>
    <row r="288">
      <c r="A288" s="9">
        <f t="shared" si="17"/>
        <v>26</v>
      </c>
      <c r="B288" s="10">
        <f>IF(INDEX(rngYear,A288+1)&lt;&gt;0,INDEX(rngYear,A288+1),"")</f>
        <v>2005</v>
      </c>
      <c r="C288" s="11">
        <f>IFERROR(INDEX(rngData,MATCH($B288,rngYear,0),MATCH(OFFSET(C288,-$A288,0),rngColumnNames,0)),"")</f>
        <v>66</v>
      </c>
      <c r="D288" s="11">
        <f>IFERROR(INDEX(rngData,MATCH($B288,rngYear,0),MATCH(OFFSET(D288,-$A288,0),rngColumnNames,0)),"")</f>
        <v>73.988211</v>
      </c>
      <c r="E288" s="11">
        <f>IFERROR(INDEX(rngData,MATCH($B288,rngYear,0),MATCH(OFFSET(E288,-$A288,0),rngColumnNames,0)),"")</f>
        <v>68.191642</v>
      </c>
      <c r="F288" s="11">
        <f>IFERROR(INDEX(rngData,MATCH($B288,rngYear,0),MATCH(OFFSET(F288,-$A288,0),rngColumnNames,0)),"")</f>
        <v>79.139397</v>
      </c>
      <c r="G288" s="11">
        <f t="shared" si="16"/>
        <v>10.947755</v>
      </c>
    </row>
    <row r="289">
      <c r="A289" s="9">
        <f t="shared" si="17"/>
        <v>27</v>
      </c>
      <c r="B289" s="10">
        <f>IF(INDEX(rngYear,A289+1)&lt;&gt;0,INDEX(rngYear,A289+1),"")</f>
        <v>2006</v>
      </c>
      <c r="C289" s="11">
        <f>IFERROR(INDEX(rngData,MATCH($B289,rngYear,0),MATCH(OFFSET(C289,-$A289,0),rngColumnNames,0)),"")</f>
        <v>92</v>
      </c>
      <c r="D289" s="11">
        <f>IFERROR(INDEX(rngData,MATCH($B289,rngYear,0),MATCH(OFFSET(D289,-$A289,0),rngColumnNames,0)),"")</f>
        <v>77.809823</v>
      </c>
      <c r="E289" s="11">
        <f>IFERROR(INDEX(rngData,MATCH($B289,rngYear,0),MATCH(OFFSET(E289,-$A289,0),rngColumnNames,0)),"")</f>
        <v>71.502051</v>
      </c>
      <c r="F289" s="11">
        <f>IFERROR(INDEX(rngData,MATCH($B289,rngYear,0),MATCH(OFFSET(F289,-$A289,0),rngColumnNames,0)),"")</f>
        <v>83.072038</v>
      </c>
      <c r="G289" s="11">
        <f t="shared" si="16"/>
        <v>11.569987000000012</v>
      </c>
    </row>
    <row r="290">
      <c r="A290" s="9">
        <f t="shared" si="17"/>
        <v>28</v>
      </c>
      <c r="B290" s="10">
        <f>IF(INDEX(rngYear,A290+1)&lt;&gt;0,INDEX(rngYear,A290+1),"")</f>
        <v>2007</v>
      </c>
      <c r="C290" s="11">
        <f>IFERROR(INDEX(rngData,MATCH($B290,rngYear,0),MATCH(OFFSET(C290,-$A290,0),rngColumnNames,0)),"")</f>
        <v>79</v>
      </c>
      <c r="D290" s="11">
        <f>IFERROR(INDEX(rngData,MATCH($B290,rngYear,0),MATCH(OFFSET(D290,-$A290,0),rngColumnNames,0)),"")</f>
        <v>80.810918</v>
      </c>
      <c r="E290" s="11">
        <f>IFERROR(INDEX(rngData,MATCH($B290,rngYear,0),MATCH(OFFSET(E290,-$A290,0),rngColumnNames,0)),"")</f>
        <v>75.54334</v>
      </c>
      <c r="F290" s="11">
        <f>IFERROR(INDEX(rngData,MATCH($B290,rngYear,0),MATCH(OFFSET(F290,-$A290,0),rngColumnNames,0)),"")</f>
        <v>87.181304</v>
      </c>
      <c r="G290" s="11">
        <f t="shared" si="16"/>
        <v>11.637963999999997</v>
      </c>
    </row>
    <row r="291">
      <c r="A291" s="9">
        <f t="shared" si="17"/>
        <v>29</v>
      </c>
      <c r="B291" s="10">
        <f>IF(INDEX(rngYear,A291+1)&lt;&gt;0,INDEX(rngYear,A291+1),"")</f>
        <v>2008</v>
      </c>
      <c r="C291" s="11">
        <f>IFERROR(INDEX(rngData,MATCH($B291,rngYear,0),MATCH(OFFSET(C291,-$A291,0),rngColumnNames,0)),"")</f>
        <v>70</v>
      </c>
      <c r="D291" s="11">
        <f>IFERROR(INDEX(rngData,MATCH($B291,rngYear,0),MATCH(OFFSET(D291,-$A291,0),rngColumnNames,0)),"")</f>
        <v>99.635407</v>
      </c>
      <c r="E291" s="11">
        <f>IFERROR(INDEX(rngData,MATCH($B291,rngYear,0),MATCH(OFFSET(E291,-$A291,0),rngColumnNames,0)),"")</f>
        <v>92.767465</v>
      </c>
      <c r="F291" s="11">
        <f>IFERROR(INDEX(rngData,MATCH($B291,rngYear,0),MATCH(OFFSET(F291,-$A291,0),rngColumnNames,0)),"")</f>
        <v>107.150883</v>
      </c>
      <c r="G291" s="11">
        <f t="shared" si="16"/>
        <v>14.383417999999992</v>
      </c>
    </row>
    <row r="292">
      <c r="A292" s="9">
        <f t="shared" si="17"/>
        <v>30</v>
      </c>
      <c r="B292" s="10">
        <f>IF(INDEX(rngYear,A292+1)&lt;&gt;0,INDEX(rngYear,A292+1),"")</f>
        <v>2009</v>
      </c>
      <c r="C292" s="11">
        <f>IFERROR(INDEX(rngData,MATCH($B292,rngYear,0),MATCH(OFFSET(C292,-$A292,0),rngColumnNames,0)),"")</f>
        <v>108</v>
      </c>
      <c r="D292" s="11">
        <f>IFERROR(INDEX(rngData,MATCH($B292,rngYear,0),MATCH(OFFSET(D292,-$A292,0),rngColumnNames,0)),"")</f>
        <v>100.320693</v>
      </c>
      <c r="E292" s="11">
        <f>IFERROR(INDEX(rngData,MATCH($B292,rngYear,0),MATCH(OFFSET(E292,-$A292,0),rngColumnNames,0)),"")</f>
        <v>92.878775</v>
      </c>
      <c r="F292" s="11">
        <f>IFERROR(INDEX(rngData,MATCH($B292,rngYear,0),MATCH(OFFSET(F292,-$A292,0),rngColumnNames,0)),"")</f>
        <v>106.763496</v>
      </c>
      <c r="G292" s="11">
        <f t="shared" si="16"/>
        <v>13.884720999999999</v>
      </c>
    </row>
    <row r="293">
      <c r="A293" s="9">
        <f t="shared" si="17"/>
        <v>31</v>
      </c>
      <c r="B293" s="10">
        <f>IF(INDEX(rngYear,A293+1)&lt;&gt;0,INDEX(rngYear,A293+1),"")</f>
        <v>2010</v>
      </c>
      <c r="C293" s="11">
        <f>IFERROR(INDEX(rngData,MATCH($B293,rngYear,0),MATCH(OFFSET(C293,-$A293,0),rngColumnNames,0)),"")</f>
        <v>98</v>
      </c>
      <c r="D293" s="11">
        <f>IFERROR(INDEX(rngData,MATCH($B293,rngYear,0),MATCH(OFFSET(D293,-$A293,0),rngColumnNames,0)),"")</f>
        <v>108.298477</v>
      </c>
      <c r="E293" s="11">
        <f>IFERROR(INDEX(rngData,MATCH($B293,rngYear,0),MATCH(OFFSET(E293,-$A293,0),rngColumnNames,0)),"")</f>
        <v>99.348563</v>
      </c>
      <c r="F293" s="11">
        <f>IFERROR(INDEX(rngData,MATCH($B293,rngYear,0),MATCH(OFFSET(F293,-$A293,0),rngColumnNames,0)),"")</f>
        <v>114.678332</v>
      </c>
      <c r="G293" s="11">
        <f t="shared" si="16"/>
        <v>15.329768999999999</v>
      </c>
    </row>
    <row r="294">
      <c r="A294" s="9">
        <f t="shared" si="17"/>
        <v>32</v>
      </c>
      <c r="B294" s="10">
        <f>IF(INDEX(rngYear,A294+1)&lt;&gt;0,INDEX(rngYear,A294+1),"")</f>
        <v>2011</v>
      </c>
      <c r="C294" s="11">
        <f>IFERROR(INDEX(rngData,MATCH($B294,rngYear,0),MATCH(OFFSET(C294,-$A294,0),rngColumnNames,0)),"")</f>
        <v>101</v>
      </c>
      <c r="D294" s="11">
        <f>IFERROR(INDEX(rngData,MATCH($B294,rngYear,0),MATCH(OFFSET(D294,-$A294,0),rngColumnNames,0)),"")</f>
        <v>105.302698</v>
      </c>
      <c r="E294" s="11">
        <f>IFERROR(INDEX(rngData,MATCH($B294,rngYear,0),MATCH(OFFSET(E294,-$A294,0),rngColumnNames,0)),"")</f>
        <v>97.449748</v>
      </c>
      <c r="F294" s="11">
        <f>IFERROR(INDEX(rngData,MATCH($B294,rngYear,0),MATCH(OFFSET(F294,-$A294,0),rngColumnNames,0)),"")</f>
        <v>113.017238</v>
      </c>
      <c r="G294" s="11">
        <f t="shared" si="16"/>
        <v>15.567490000000007</v>
      </c>
    </row>
    <row r="295">
      <c r="A295" s="9">
        <f t="shared" si="17"/>
        <v>33</v>
      </c>
      <c r="B295" s="10">
        <f>IF(INDEX(rngYear,A295+1)&lt;&gt;0,INDEX(rngYear,A295+1),"")</f>
        <v>2012</v>
      </c>
      <c r="C295" s="11">
        <f>IFERROR(INDEX(rngData,MATCH($B295,rngYear,0),MATCH(OFFSET(C295,-$A295,0),rngColumnNames,0)),"")</f>
        <v>108</v>
      </c>
      <c r="D295" s="11">
        <f>IFERROR(INDEX(rngData,MATCH($B295,rngYear,0),MATCH(OFFSET(D295,-$A295,0),rngColumnNames,0)),"")</f>
        <v>104.262563</v>
      </c>
      <c r="E295" s="11">
        <f>IFERROR(INDEX(rngData,MATCH($B295,rngYear,0),MATCH(OFFSET(E295,-$A295,0),rngColumnNames,0)),"")</f>
        <v>96.710322</v>
      </c>
      <c r="F295" s="11">
        <f>IFERROR(INDEX(rngData,MATCH($B295,rngYear,0),MATCH(OFFSET(F295,-$A295,0),rngColumnNames,0)),"")</f>
        <v>111.802797</v>
      </c>
      <c r="G295" s="11">
        <f ref="G295:G322" t="shared" si="18">IFERROR(F295-E295,"")</f>
        <v>15.092474999999993</v>
      </c>
    </row>
    <row r="296" hidden="1">
      <c r="A296" s="9">
        <f ref="A296:A322" t="shared" si="19">A295+1</f>
        <v>34</v>
      </c>
      <c r="B296" s="10">
        <f>IF(INDEX(rngYear,A296+1)&lt;&gt;0,INDEX(rngYear,A296+1),"")</f>
        <v>2013</v>
      </c>
      <c r="C296" s="11">
        <f>IFERROR(INDEX(rngData,MATCH($B296,rngYear,0),MATCH(OFFSET(C296,-$A296,0),rngColumnNames,0)),"")</f>
        <v>113</v>
      </c>
      <c r="D296" s="11">
        <f>IFERROR(INDEX(rngData,MATCH($B296,rngYear,0),MATCH(OFFSET(D296,-$A296,0),rngColumnNames,0)),"")</f>
        <v>121.60284</v>
      </c>
      <c r="E296" s="11">
        <f>IFERROR(INDEX(rngData,MATCH($B296,rngYear,0),MATCH(OFFSET(E296,-$A296,0),rngColumnNames,0)),"")</f>
        <v>115.415594</v>
      </c>
      <c r="F296" s="11">
        <f>IFERROR(INDEX(rngData,MATCH($B296,rngYear,0),MATCH(OFFSET(F296,-$A296,0),rngColumnNames,0)),"")</f>
        <v>130.379407</v>
      </c>
      <c r="G296" s="11">
        <f t="shared" si="18"/>
        <v>14.963812999999988</v>
      </c>
    </row>
    <row r="297" hidden="1">
      <c r="A297" s="9">
        <f t="shared" si="19"/>
        <v>35</v>
      </c>
      <c r="B297" s="10">
        <f>IF(INDEX(rngYear,A297+1)&lt;&gt;0,INDEX(rngYear,A297+1),"")</f>
        <v>2014</v>
      </c>
      <c r="C297" s="11">
        <f>IFERROR(INDEX(rngData,MATCH($B297,rngYear,0),MATCH(OFFSET(C297,-$A297,0),rngColumnNames,0)),"")</f>
        <v>168</v>
      </c>
      <c r="D297" s="11">
        <f>IFERROR(INDEX(rngData,MATCH($B297,rngYear,0),MATCH(OFFSET(D297,-$A297,0),rngColumnNames,0)),"")</f>
        <v>144.29746</v>
      </c>
      <c r="E297" s="11">
        <f>IFERROR(INDEX(rngData,MATCH($B297,rngYear,0),MATCH(OFFSET(E297,-$A297,0),rngColumnNames,0)),"")</f>
        <v>136.557094</v>
      </c>
      <c r="F297" s="11">
        <f>IFERROR(INDEX(rngData,MATCH($B297,rngYear,0),MATCH(OFFSET(F297,-$A297,0),rngColumnNames,0)),"")</f>
        <v>153.479443</v>
      </c>
      <c r="G297" s="11">
        <f t="shared" si="18"/>
        <v>16.922348999999997</v>
      </c>
    </row>
    <row r="298" hidden="1">
      <c r="A298" s="9">
        <f t="shared" si="19"/>
        <v>36</v>
      </c>
      <c r="B298" s="10">
        <f>IF(INDEX(rngYear,A298+1)&lt;&gt;0,INDEX(rngYear,A298+1),"")</f>
        <v>2015</v>
      </c>
      <c r="C298" s="11">
        <f>IFERROR(INDEX(rngData,MATCH($B298,rngYear,0),MATCH(OFFSET(C298,-$A298,0),rngColumnNames,0)),"")</f>
        <v>116</v>
      </c>
      <c r="D298" s="11">
        <f>IFERROR(INDEX(rngData,MATCH($B298,rngYear,0),MATCH(OFFSET(D298,-$A298,0),rngColumnNames,0)),"")</f>
        <v>139.391531</v>
      </c>
      <c r="E298" s="11">
        <f>IFERROR(INDEX(rngData,MATCH($B298,rngYear,0),MATCH(OFFSET(E298,-$A298,0),rngColumnNames,0)),"")</f>
        <v>132.312466</v>
      </c>
      <c r="F298" s="11">
        <f>IFERROR(INDEX(rngData,MATCH($B298,rngYear,0),MATCH(OFFSET(F298,-$A298,0),rngColumnNames,0)),"")</f>
        <v>147.944966</v>
      </c>
      <c r="G298" s="11">
        <f t="shared" si="18"/>
        <v>15.632499999999993</v>
      </c>
    </row>
    <row r="299" hidden="1">
      <c r="A299" s="9">
        <f t="shared" si="19"/>
        <v>37</v>
      </c>
      <c r="B299" s="10">
        <f>IF(INDEX(rngYear,A299+1)&lt;&gt;0,INDEX(rngYear,A299+1),"")</f>
        <v>2016</v>
      </c>
      <c r="C299" s="11">
        <f>IFERROR(INDEX(rngData,MATCH($B299,rngYear,0),MATCH(OFFSET(C299,-$A299,0),rngColumnNames,0)),"")</f>
        <v>121</v>
      </c>
      <c r="D299" s="11">
        <f>IFERROR(INDEX(rngData,MATCH($B299,rngYear,0),MATCH(OFFSET(D299,-$A299,0),rngColumnNames,0)),"")</f>
        <v>122.543724</v>
      </c>
      <c r="E299" s="11">
        <f>IFERROR(INDEX(rngData,MATCH($B299,rngYear,0),MATCH(OFFSET(E299,-$A299,0),rngColumnNames,0)),"")</f>
        <v>115.697285</v>
      </c>
      <c r="F299" s="11">
        <f>IFERROR(INDEX(rngData,MATCH($B299,rngYear,0),MATCH(OFFSET(F299,-$A299,0),rngColumnNames,0)),"")</f>
        <v>131.873127</v>
      </c>
      <c r="G299" s="11">
        <f t="shared" si="18"/>
        <v>16.175842000000017</v>
      </c>
    </row>
    <row r="300" hidden="1">
      <c r="A300" s="9">
        <f t="shared" si="19"/>
        <v>38</v>
      </c>
      <c r="B300" s="10">
        <f>IF(INDEX(rngYear,A300+1)&lt;&gt;0,INDEX(rngYear,A300+1),"")</f>
        <v>2017</v>
      </c>
      <c r="C300" s="11">
        <f>IFERROR(INDEX(rngData,MATCH($B300,rngYear,0),MATCH(OFFSET(C300,-$A300,0),rngColumnNames,0)),"")</f>
        <v>138</v>
      </c>
      <c r="D300" s="11">
        <f>IFERROR(INDEX(rngData,MATCH($B300,rngYear,0),MATCH(OFFSET(D300,-$A300,0),rngColumnNames,0)),"")</f>
        <v>138.501943</v>
      </c>
      <c r="E300" s="11">
        <f>IFERROR(INDEX(rngData,MATCH($B300,rngYear,0),MATCH(OFFSET(E300,-$A300,0),rngColumnNames,0)),"")</f>
        <v>131.010093</v>
      </c>
      <c r="F300" s="11">
        <f>IFERROR(INDEX(rngData,MATCH($B300,rngYear,0),MATCH(OFFSET(F300,-$A300,0),rngColumnNames,0)),"")</f>
        <v>148.477948</v>
      </c>
      <c r="G300" s="11">
        <f t="shared" si="18"/>
        <v>17.467854999999986</v>
      </c>
    </row>
    <row r="301" hidden="1">
      <c r="A301" s="9">
        <f t="shared" si="19"/>
        <v>39</v>
      </c>
      <c r="B301" s="10">
        <f>IF(INDEX(rngYear,A301+1)&lt;&gt;0,INDEX(rngYear,A301+1),"")</f>
        <v>2018</v>
      </c>
      <c r="C301" s="11">
        <f>IFERROR(INDEX(rngData,MATCH($B301,rngYear,0),MATCH(OFFSET(C301,-$A301,0),rngColumnNames,0)),"")</f>
        <v>121</v>
      </c>
      <c r="D301" s="11">
        <f>IFERROR(INDEX(rngData,MATCH($B301,rngYear,0),MATCH(OFFSET(D301,-$A301,0),rngColumnNames,0)),"")</f>
        <v>138.425531</v>
      </c>
      <c r="E301" s="11">
        <f>IFERROR(INDEX(rngData,MATCH($B301,rngYear,0),MATCH(OFFSET(E301,-$A301,0),rngColumnNames,0)),"")</f>
        <v>130.506371</v>
      </c>
      <c r="F301" s="11">
        <f>IFERROR(INDEX(rngData,MATCH($B301,rngYear,0),MATCH(OFFSET(F301,-$A301,0),rngColumnNames,0)),"")</f>
        <v>147.415934</v>
      </c>
      <c r="G301" s="11">
        <f t="shared" si="18"/>
        <v>16.909562999999991</v>
      </c>
    </row>
    <row r="302" hidden="1">
      <c r="A302" s="9">
        <f t="shared" si="19"/>
        <v>40</v>
      </c>
      <c r="B302" s="10">
        <f>IF(INDEX(rngYear,A302+1)&lt;&gt;0,INDEX(rngYear,A302+1),"")</f>
        <v>2019</v>
      </c>
      <c r="C302" s="11">
        <f>IFERROR(INDEX(rngData,MATCH($B302,rngYear,0),MATCH(OFFSET(C302,-$A302,0),rngColumnNames,0)),"")</f>
        <v>132</v>
      </c>
      <c r="D302" s="11">
        <f>IFERROR(INDEX(rngData,MATCH($B302,rngYear,0),MATCH(OFFSET(D302,-$A302,0),rngColumnNames,0)),"")</f>
        <v>127.441481</v>
      </c>
      <c r="E302" s="11">
        <f>IFERROR(INDEX(rngData,MATCH($B302,rngYear,0),MATCH(OFFSET(E302,-$A302,0),rngColumnNames,0)),"")</f>
        <v>116.091711</v>
      </c>
      <c r="F302" s="11">
        <f>IFERROR(INDEX(rngData,MATCH($B302,rngYear,0),MATCH(OFFSET(F302,-$A302,0),rngColumnNames,0)),"")</f>
        <v>137.469266</v>
      </c>
      <c r="G302" s="11">
        <f t="shared" si="18"/>
        <v>21.377555</v>
      </c>
    </row>
    <row r="303" hidden="1">
      <c r="A303" s="9">
        <f t="shared" si="19"/>
        <v>41</v>
      </c>
      <c r="B303" s="10">
        <f>IF(INDEX(rngYear,A303+1)&lt;&gt;0,INDEX(rngYear,A303+1),"")</f>
        <v>2020</v>
      </c>
      <c r="C303" s="11">
        <f>IFERROR(INDEX(rngData,MATCH($B303,rngYear,0),MATCH(OFFSET(C303,-$A303,0),rngColumnNames,0)),"")</f>
        <v>114</v>
      </c>
      <c r="D303" s="11">
        <f>IFERROR(INDEX(rngData,MATCH($B303,rngYear,0),MATCH(OFFSET(D303,-$A303,0),rngColumnNames,0)),"")</f>
        <v>106.851224</v>
      </c>
      <c r="E303" s="11">
        <f>IFERROR(INDEX(rngData,MATCH($B303,rngYear,0),MATCH(OFFSET(E303,-$A303,0),rngColumnNames,0)),"")</f>
        <v>93.911789</v>
      </c>
      <c r="F303" s="11">
        <f>IFERROR(INDEX(rngData,MATCH($B303,rngYear,0),MATCH(OFFSET(F303,-$A303,0),rngColumnNames,0)),"")</f>
        <v>120.367126</v>
      </c>
      <c r="G303" s="11">
        <f t="shared" si="18"/>
        <v>26.455337</v>
      </c>
    </row>
    <row r="304" hidden="1">
      <c r="A304" s="9">
        <f t="shared" si="19"/>
        <v>42</v>
      </c>
      <c r="B304" s="10">
        <f>IF(INDEX(rngYear,A304+1)&lt;&gt;0,INDEX(rngYear,A304+1),"")</f>
        <v>2021</v>
      </c>
      <c r="C304" s="11">
        <f>IFERROR(INDEX(rngData,MATCH($B304,rngYear,0),MATCH(OFFSET(C304,-$A304,0),rngColumnNames,0)),"")</f>
        <v>110</v>
      </c>
      <c r="D304" s="11">
        <f>IFERROR(INDEX(rngData,MATCH($B304,rngYear,0),MATCH(OFFSET(D304,-$A304,0),rngColumnNames,0)),"")</f>
        <v>99.967647</v>
      </c>
      <c r="E304" s="11">
        <f>IFERROR(INDEX(rngData,MATCH($B304,rngYear,0),MATCH(OFFSET(E304,-$A304,0),rngColumnNames,0)),"")</f>
        <v>86.377943</v>
      </c>
      <c r="F304" s="11">
        <f>IFERROR(INDEX(rngData,MATCH($B304,rngYear,0),MATCH(OFFSET(F304,-$A304,0),rngColumnNames,0)),"")</f>
        <v>116.721559</v>
      </c>
      <c r="G304" s="11">
        <f t="shared" si="18"/>
        <v>30.343615999999997</v>
      </c>
    </row>
    <row r="305" hidden="1">
      <c r="A305" s="9">
        <f t="shared" si="19"/>
        <v>43</v>
      </c>
      <c r="B305" s="10">
        <f>IF(INDEX(rngYear,A305+1)&lt;&gt;0,INDEX(rngYear,A305+1),"")</f>
        <v>2022</v>
      </c>
      <c r="C305" s="11">
        <f>IFERROR(INDEX(rngData,MATCH($B305,rngYear,0),MATCH(OFFSET(C305,-$A305,0),rngColumnNames,0)),"")</f>
        <v>104</v>
      </c>
      <c r="D305" s="11">
        <f>IFERROR(INDEX(rngData,MATCH($B305,rngYear,0),MATCH(OFFSET(D305,-$A305,0),rngColumnNames,0)),"")</f>
        <v>106.837029</v>
      </c>
      <c r="E305" s="11">
        <f>IFERROR(INDEX(rngData,MATCH($B305,rngYear,0),MATCH(OFFSET(E305,-$A305,0),rngColumnNames,0)),"")</f>
        <v>90.241094</v>
      </c>
      <c r="F305" s="11">
        <f>IFERROR(INDEX(rngData,MATCH($B305,rngYear,0),MATCH(OFFSET(F305,-$A305,0),rngColumnNames,0)),"")</f>
        <v>127.319027</v>
      </c>
      <c r="G305" s="11">
        <f t="shared" si="18"/>
        <v>37.077933</v>
      </c>
    </row>
    <row r="306" hidden="1">
      <c r="A306" s="9">
        <f t="shared" si="19"/>
        <v>44</v>
      </c>
      <c r="B306" s="10">
        <f>IF(INDEX(rngYear,A306+1)&lt;&gt;0,INDEX(rngYear,A306+1),"")</f>
      </c>
      <c r="C306" s="11">
        <f>IFERROR(INDEX(rngData,MATCH($B306,rngYear,0),MATCH(OFFSET(C306,-$A306,0),rngColumnNames,0)),"")</f>
      </c>
      <c r="D306" s="11">
        <f>IFERROR(INDEX(rngData,MATCH($B306,rngYear,0),MATCH(OFFSET(D306,-$A306,0),rngColumnNames,0)),"")</f>
      </c>
      <c r="E306" s="11">
        <f>IFERROR(INDEX(rngData,MATCH($B306,rngYear,0),MATCH(OFFSET(E306,-$A306,0),rngColumnNames,0)),"")</f>
      </c>
      <c r="F306" s="11">
        <f>IFERROR(INDEX(rngData,MATCH($B306,rngYear,0),MATCH(OFFSET(F306,-$A306,0),rngColumnNames,0)),"")</f>
      </c>
      <c r="G306" s="11">
        <f t="shared" si="18"/>
      </c>
    </row>
    <row r="307" hidden="1">
      <c r="A307" s="9">
        <f t="shared" si="19"/>
        <v>45</v>
      </c>
      <c r="B307" s="10">
        <f>IF(INDEX(rngYear,A307+1)&lt;&gt;0,INDEX(rngYear,A307+1),"")</f>
      </c>
      <c r="C307" s="11">
        <f>IFERROR(INDEX(rngData,MATCH($B307,rngYear,0),MATCH(OFFSET(C307,-$A307,0),rngColumnNames,0)),"")</f>
      </c>
      <c r="D307" s="11">
        <f>IFERROR(INDEX(rngData,MATCH($B307,rngYear,0),MATCH(OFFSET(D307,-$A307,0),rngColumnNames,0)),"")</f>
      </c>
      <c r="E307" s="11">
        <f>IFERROR(INDEX(rngData,MATCH($B307,rngYear,0),MATCH(OFFSET(E307,-$A307,0),rngColumnNames,0)),"")</f>
      </c>
      <c r="F307" s="11">
        <f>IFERROR(INDEX(rngData,MATCH($B307,rngYear,0),MATCH(OFFSET(F307,-$A307,0),rngColumnNames,0)),"")</f>
      </c>
      <c r="G307" s="11">
        <f t="shared" si="18"/>
      </c>
    </row>
    <row r="308" hidden="1">
      <c r="A308" s="9">
        <f t="shared" si="19"/>
        <v>46</v>
      </c>
      <c r="B308" s="10">
        <f>IF(INDEX(rngYear,A308+1)&lt;&gt;0,INDEX(rngYear,A308+1),"")</f>
      </c>
      <c r="C308" s="11">
        <f>IFERROR(INDEX(rngData,MATCH($B308,rngYear,0),MATCH(OFFSET(C308,-$A308,0),rngColumnNames,0)),"")</f>
      </c>
      <c r="D308" s="11">
        <f>IFERROR(INDEX(rngData,MATCH($B308,rngYear,0),MATCH(OFFSET(D308,-$A308,0),rngColumnNames,0)),"")</f>
      </c>
      <c r="E308" s="11">
        <f>IFERROR(INDEX(rngData,MATCH($B308,rngYear,0),MATCH(OFFSET(E308,-$A308,0),rngColumnNames,0)),"")</f>
      </c>
      <c r="F308" s="11">
        <f>IFERROR(INDEX(rngData,MATCH($B308,rngYear,0),MATCH(OFFSET(F308,-$A308,0),rngColumnNames,0)),"")</f>
      </c>
      <c r="G308" s="11">
        <f t="shared" si="18"/>
      </c>
    </row>
    <row r="309" hidden="1">
      <c r="A309" s="9">
        <f t="shared" si="19"/>
        <v>47</v>
      </c>
      <c r="B309" s="10">
        <f>IF(INDEX(rngYear,A309+1)&lt;&gt;0,INDEX(rngYear,A309+1),"")</f>
      </c>
      <c r="C309" s="11">
        <f>IFERROR(INDEX(rngData,MATCH($B309,rngYear,0),MATCH(OFFSET(C309,-$A309,0),rngColumnNames,0)),"")</f>
      </c>
      <c r="D309" s="11">
        <f>IFERROR(INDEX(rngData,MATCH($B309,rngYear,0),MATCH(OFFSET(D309,-$A309,0),rngColumnNames,0)),"")</f>
      </c>
      <c r="E309" s="11">
        <f>IFERROR(INDEX(rngData,MATCH($B309,rngYear,0),MATCH(OFFSET(E309,-$A309,0),rngColumnNames,0)),"")</f>
      </c>
      <c r="F309" s="11">
        <f>IFERROR(INDEX(rngData,MATCH($B309,rngYear,0),MATCH(OFFSET(F309,-$A309,0),rngColumnNames,0)),"")</f>
      </c>
      <c r="G309" s="11">
        <f t="shared" si="18"/>
      </c>
    </row>
    <row r="310" hidden="1">
      <c r="A310" s="9">
        <f t="shared" si="19"/>
        <v>48</v>
      </c>
      <c r="B310" s="10">
        <f>IF(INDEX(rngYear,A310+1)&lt;&gt;0,INDEX(rngYear,A310+1),"")</f>
      </c>
      <c r="C310" s="11">
        <f>IFERROR(INDEX(rngData,MATCH($B310,rngYear,0),MATCH(OFFSET(C310,-$A310,0),rngColumnNames,0)),"")</f>
      </c>
      <c r="D310" s="11">
        <f>IFERROR(INDEX(rngData,MATCH($B310,rngYear,0),MATCH(OFFSET(D310,-$A310,0),rngColumnNames,0)),"")</f>
      </c>
      <c r="E310" s="11">
        <f>IFERROR(INDEX(rngData,MATCH($B310,rngYear,0),MATCH(OFFSET(E310,-$A310,0),rngColumnNames,0)),"")</f>
      </c>
      <c r="F310" s="11">
        <f>IFERROR(INDEX(rngData,MATCH($B310,rngYear,0),MATCH(OFFSET(F310,-$A310,0),rngColumnNames,0)),"")</f>
      </c>
      <c r="G310" s="11">
        <f t="shared" si="18"/>
      </c>
    </row>
    <row r="311" hidden="1">
      <c r="A311" s="9">
        <f t="shared" si="19"/>
        <v>49</v>
      </c>
      <c r="B311" s="10">
        <f>IF(INDEX(rngYear,A311+1)&lt;&gt;0,INDEX(rngYear,A311+1),"")</f>
      </c>
      <c r="C311" s="11">
        <f>IFERROR(INDEX(rngData,MATCH($B311,rngYear,0),MATCH(OFFSET(C311,-$A311,0),rngColumnNames,0)),"")</f>
      </c>
      <c r="D311" s="11">
        <f>IFERROR(INDEX(rngData,MATCH($B311,rngYear,0),MATCH(OFFSET(D311,-$A311,0),rngColumnNames,0)),"")</f>
      </c>
      <c r="E311" s="11">
        <f>IFERROR(INDEX(rngData,MATCH($B311,rngYear,0),MATCH(OFFSET(E311,-$A311,0),rngColumnNames,0)),"")</f>
      </c>
      <c r="F311" s="11">
        <f>IFERROR(INDEX(rngData,MATCH($B311,rngYear,0),MATCH(OFFSET(F311,-$A311,0),rngColumnNames,0)),"")</f>
      </c>
      <c r="G311" s="11">
        <f t="shared" si="18"/>
      </c>
    </row>
    <row r="312" hidden="1">
      <c r="A312" s="9">
        <f t="shared" si="19"/>
        <v>50</v>
      </c>
      <c r="B312" s="10">
        <f>IF(INDEX(rngYear,A312+1)&lt;&gt;0,INDEX(rngYear,A312+1),"")</f>
      </c>
      <c r="C312" s="11">
        <f>IFERROR(INDEX(rngData,MATCH($B312,rngYear,0),MATCH(OFFSET(C312,-$A312,0),rngColumnNames,0)),"")</f>
      </c>
      <c r="D312" s="11">
        <f>IFERROR(INDEX(rngData,MATCH($B312,rngYear,0),MATCH(OFFSET(D312,-$A312,0),rngColumnNames,0)),"")</f>
      </c>
      <c r="E312" s="11">
        <f>IFERROR(INDEX(rngData,MATCH($B312,rngYear,0),MATCH(OFFSET(E312,-$A312,0),rngColumnNames,0)),"")</f>
      </c>
      <c r="F312" s="11">
        <f>IFERROR(INDEX(rngData,MATCH($B312,rngYear,0),MATCH(OFFSET(F312,-$A312,0),rngColumnNames,0)),"")</f>
      </c>
      <c r="G312" s="11">
        <f t="shared" si="18"/>
      </c>
    </row>
    <row r="313" hidden="1">
      <c r="A313" s="9">
        <f t="shared" si="19"/>
        <v>51</v>
      </c>
      <c r="B313" s="10">
        <f>IF(INDEX(rngYear,A313+1)&lt;&gt;0,INDEX(rngYear,A313+1),"")</f>
      </c>
      <c r="C313" s="11">
        <f>IFERROR(INDEX(rngData,MATCH($B313,rngYear,0),MATCH(OFFSET(C313,-$A313,0),rngColumnNames,0)),"")</f>
      </c>
      <c r="D313" s="11">
        <f>IFERROR(INDEX(rngData,MATCH($B313,rngYear,0),MATCH(OFFSET(D313,-$A313,0),rngColumnNames,0)),"")</f>
      </c>
      <c r="E313" s="11">
        <f>IFERROR(INDEX(rngData,MATCH($B313,rngYear,0),MATCH(OFFSET(E313,-$A313,0),rngColumnNames,0)),"")</f>
      </c>
      <c r="F313" s="11">
        <f>IFERROR(INDEX(rngData,MATCH($B313,rngYear,0),MATCH(OFFSET(F313,-$A313,0),rngColumnNames,0)),"")</f>
      </c>
      <c r="G313" s="11">
        <f t="shared" si="18"/>
      </c>
    </row>
    <row r="314" hidden="1">
      <c r="A314" s="9">
        <f t="shared" si="19"/>
        <v>52</v>
      </c>
      <c r="B314" s="10">
        <f>IF(INDEX(rngYear,A314+1)&lt;&gt;0,INDEX(rngYear,A314+1),"")</f>
      </c>
      <c r="C314" s="11">
        <f>IFERROR(INDEX(rngData,MATCH($B314,rngYear,0),MATCH(OFFSET(C314,-$A314,0),rngColumnNames,0)),"")</f>
      </c>
      <c r="D314" s="11">
        <f>IFERROR(INDEX(rngData,MATCH($B314,rngYear,0),MATCH(OFFSET(D314,-$A314,0),rngColumnNames,0)),"")</f>
      </c>
      <c r="E314" s="11">
        <f>IFERROR(INDEX(rngData,MATCH($B314,rngYear,0),MATCH(OFFSET(E314,-$A314,0),rngColumnNames,0)),"")</f>
      </c>
      <c r="F314" s="11">
        <f>IFERROR(INDEX(rngData,MATCH($B314,rngYear,0),MATCH(OFFSET(F314,-$A314,0),rngColumnNames,0)),"")</f>
      </c>
      <c r="G314" s="11">
        <f t="shared" si="18"/>
      </c>
    </row>
    <row r="315" hidden="1">
      <c r="A315" s="9">
        <f t="shared" si="19"/>
        <v>53</v>
      </c>
      <c r="B315" s="10">
        <f>IF(INDEX(rngYear,A315+1)&lt;&gt;0,INDEX(rngYear,A315+1),"")</f>
      </c>
      <c r="C315" s="11">
        <f>IFERROR(INDEX(rngData,MATCH($B315,rngYear,0),MATCH(OFFSET(C315,-$A315,0),rngColumnNames,0)),"")</f>
      </c>
      <c r="D315" s="11">
        <f>IFERROR(INDEX(rngData,MATCH($B315,rngYear,0),MATCH(OFFSET(D315,-$A315,0),rngColumnNames,0)),"")</f>
      </c>
      <c r="E315" s="11">
        <f>IFERROR(INDEX(rngData,MATCH($B315,rngYear,0),MATCH(OFFSET(E315,-$A315,0),rngColumnNames,0)),"")</f>
      </c>
      <c r="F315" s="11">
        <f>IFERROR(INDEX(rngData,MATCH($B315,rngYear,0),MATCH(OFFSET(F315,-$A315,0),rngColumnNames,0)),"")</f>
      </c>
      <c r="G315" s="11">
        <f t="shared" si="18"/>
      </c>
    </row>
    <row r="316" hidden="1">
      <c r="A316" s="9">
        <f t="shared" si="19"/>
        <v>54</v>
      </c>
      <c r="B316" s="10">
        <f>IF(INDEX(rngYear,A316+1)&lt;&gt;0,INDEX(rngYear,A316+1),"")</f>
      </c>
      <c r="C316" s="11">
        <f>IFERROR(INDEX(rngData,MATCH($B316,rngYear,0),MATCH(OFFSET(C316,-$A316,0),rngColumnNames,0)),"")</f>
      </c>
      <c r="D316" s="11">
        <f>IFERROR(INDEX(rngData,MATCH($B316,rngYear,0),MATCH(OFFSET(D316,-$A316,0),rngColumnNames,0)),"")</f>
      </c>
      <c r="E316" s="11">
        <f>IFERROR(INDEX(rngData,MATCH($B316,rngYear,0),MATCH(OFFSET(E316,-$A316,0),rngColumnNames,0)),"")</f>
      </c>
      <c r="F316" s="11">
        <f>IFERROR(INDEX(rngData,MATCH($B316,rngYear,0),MATCH(OFFSET(F316,-$A316,0),rngColumnNames,0)),"")</f>
      </c>
      <c r="G316" s="11">
        <f t="shared" si="18"/>
      </c>
    </row>
    <row r="317" hidden="1">
      <c r="A317" s="9">
        <f t="shared" si="19"/>
        <v>55</v>
      </c>
      <c r="B317" s="10">
        <f>IF(INDEX(rngYear,A317+1)&lt;&gt;0,INDEX(rngYear,A317+1),"")</f>
      </c>
      <c r="C317" s="11">
        <f>IFERROR(INDEX(rngData,MATCH($B317,rngYear,0),MATCH(OFFSET(C317,-$A317,0),rngColumnNames,0)),"")</f>
      </c>
      <c r="D317" s="11">
        <f>IFERROR(INDEX(rngData,MATCH($B317,rngYear,0),MATCH(OFFSET(D317,-$A317,0),rngColumnNames,0)),"")</f>
      </c>
      <c r="E317" s="11">
        <f>IFERROR(INDEX(rngData,MATCH($B317,rngYear,0),MATCH(OFFSET(E317,-$A317,0),rngColumnNames,0)),"")</f>
      </c>
      <c r="F317" s="11">
        <f>IFERROR(INDEX(rngData,MATCH($B317,rngYear,0),MATCH(OFFSET(F317,-$A317,0),rngColumnNames,0)),"")</f>
      </c>
      <c r="G317" s="11">
        <f t="shared" si="18"/>
      </c>
    </row>
    <row r="318" hidden="1">
      <c r="A318" s="9">
        <f t="shared" si="19"/>
        <v>56</v>
      </c>
      <c r="B318" s="10">
        <f>IF(INDEX(rngYear,A318+1)&lt;&gt;0,INDEX(rngYear,A318+1),"")</f>
      </c>
      <c r="C318" s="11">
        <f>IFERROR(INDEX(rngData,MATCH($B318,rngYear,0),MATCH(OFFSET(C318,-$A318,0),rngColumnNames,0)),"")</f>
      </c>
      <c r="D318" s="11">
        <f>IFERROR(INDEX(rngData,MATCH($B318,rngYear,0),MATCH(OFFSET(D318,-$A318,0),rngColumnNames,0)),"")</f>
      </c>
      <c r="E318" s="11">
        <f>IFERROR(INDEX(rngData,MATCH($B318,rngYear,0),MATCH(OFFSET(E318,-$A318,0),rngColumnNames,0)),"")</f>
      </c>
      <c r="F318" s="11">
        <f>IFERROR(INDEX(rngData,MATCH($B318,rngYear,0),MATCH(OFFSET(F318,-$A318,0),rngColumnNames,0)),"")</f>
      </c>
      <c r="G318" s="11">
        <f t="shared" si="18"/>
      </c>
    </row>
    <row r="319" hidden="1">
      <c r="A319" s="9">
        <f t="shared" si="19"/>
        <v>57</v>
      </c>
      <c r="B319" s="10">
        <f>IF(INDEX(rngYear,A319+1)&lt;&gt;0,INDEX(rngYear,A319+1),"")</f>
      </c>
      <c r="C319" s="11">
        <f>IFERROR(INDEX(rngData,MATCH($B319,rngYear,0),MATCH(OFFSET(C319,-$A319,0),rngColumnNames,0)),"")</f>
      </c>
      <c r="D319" s="11">
        <f>IFERROR(INDEX(rngData,MATCH($B319,rngYear,0),MATCH(OFFSET(D319,-$A319,0),rngColumnNames,0)),"")</f>
      </c>
      <c r="E319" s="11">
        <f>IFERROR(INDEX(rngData,MATCH($B319,rngYear,0),MATCH(OFFSET(E319,-$A319,0),rngColumnNames,0)),"")</f>
      </c>
      <c r="F319" s="11">
        <f>IFERROR(INDEX(rngData,MATCH($B319,rngYear,0),MATCH(OFFSET(F319,-$A319,0),rngColumnNames,0)),"")</f>
      </c>
      <c r="G319" s="11">
        <f t="shared" si="18"/>
      </c>
    </row>
    <row r="320" hidden="1">
      <c r="A320" s="9">
        <f t="shared" si="19"/>
        <v>58</v>
      </c>
      <c r="B320" s="10">
        <f>IF(INDEX(rngYear,A320+1)&lt;&gt;0,INDEX(rngYear,A320+1),"")</f>
      </c>
      <c r="C320" s="11">
        <f>IFERROR(INDEX(rngData,MATCH($B320,rngYear,0),MATCH(OFFSET(C320,-$A320,0),rngColumnNames,0)),"")</f>
      </c>
      <c r="D320" s="11">
        <f>IFERROR(INDEX(rngData,MATCH($B320,rngYear,0),MATCH(OFFSET(D320,-$A320,0),rngColumnNames,0)),"")</f>
      </c>
      <c r="E320" s="11">
        <f>IFERROR(INDEX(rngData,MATCH($B320,rngYear,0),MATCH(OFFSET(E320,-$A320,0),rngColumnNames,0)),"")</f>
      </c>
      <c r="F320" s="11">
        <f>IFERROR(INDEX(rngData,MATCH($B320,rngYear,0),MATCH(OFFSET(F320,-$A320,0),rngColumnNames,0)),"")</f>
      </c>
      <c r="G320" s="11">
        <f t="shared" si="18"/>
      </c>
    </row>
    <row r="321" hidden="1">
      <c r="A321" s="9">
        <f t="shared" si="19"/>
        <v>59</v>
      </c>
      <c r="B321" s="10">
        <f>IF(INDEX(rngYear,A321+1)&lt;&gt;0,INDEX(rngYear,A321+1),"")</f>
      </c>
      <c r="C321" s="11">
        <f>IFERROR(INDEX(rngData,MATCH($B321,rngYear,0),MATCH(OFFSET(C321,-$A321,0),rngColumnNames,0)),"")</f>
      </c>
      <c r="D321" s="11">
        <f>IFERROR(INDEX(rngData,MATCH($B321,rngYear,0),MATCH(OFFSET(D321,-$A321,0),rngColumnNames,0)),"")</f>
      </c>
      <c r="E321" s="11">
        <f>IFERROR(INDEX(rngData,MATCH($B321,rngYear,0),MATCH(OFFSET(E321,-$A321,0),rngColumnNames,0)),"")</f>
      </c>
      <c r="F321" s="11">
        <f>IFERROR(INDEX(rngData,MATCH($B321,rngYear,0),MATCH(OFFSET(F321,-$A321,0),rngColumnNames,0)),"")</f>
      </c>
      <c r="G321" s="11">
        <f t="shared" si="18"/>
      </c>
    </row>
    <row r="322" hidden="1">
      <c r="A322" s="9">
        <f t="shared" si="19"/>
        <v>60</v>
      </c>
      <c r="B322" s="10">
        <f>IF(INDEX(rngYear,A322+1)&lt;&gt;0,INDEX(rngYear,A322+1),"")</f>
      </c>
      <c r="C322" s="11">
        <f>IFERROR(INDEX(rngData,MATCH($B322,rngYear,0),MATCH(OFFSET(C322,-$A322,0),rngColumnNames,0)),"")</f>
      </c>
      <c r="D322" s="11">
        <f>IFERROR(INDEX(rngData,MATCH($B322,rngYear,0),MATCH(OFFSET(D322,-$A322,0),rngColumnNames,0)),"")</f>
      </c>
      <c r="E322" s="11">
        <f>IFERROR(INDEX(rngData,MATCH($B322,rngYear,0),MATCH(OFFSET(E322,-$A322,0),rngColumnNames,0)),"")</f>
      </c>
      <c r="F322" s="11">
        <f>IFERROR(INDEX(rngData,MATCH($B322,rngYear,0),MATCH(OFFSET(F322,-$A322,0),rngColumnNames,0)),"")</f>
      </c>
      <c r="G322" s="11">
        <f t="shared" si="18"/>
      </c>
    </row>
    <row r="324" ht="19.5" customHeight="1">
      <c r="A324" s="16" t="s">
        <v>30</v>
      </c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</row>
    <row r="325" ht="15" customHeight="1">
      <c r="B325" s="4"/>
      <c r="C325" s="5" t="s">
        <v>1</v>
      </c>
      <c r="D325" s="5" t="s">
        <v>2</v>
      </c>
      <c r="E325" s="17" t="s">
        <v>3</v>
      </c>
      <c r="F325" s="18"/>
      <c r="G325" s="19"/>
    </row>
    <row r="326" ht="22.5" customHeight="1">
      <c r="A326" s="6" t="s">
        <v>4</v>
      </c>
      <c r="B326" s="7" t="s">
        <v>5</v>
      </c>
      <c r="C326" s="7" t="s">
        <v>31</v>
      </c>
      <c r="D326" s="7" t="s">
        <v>32</v>
      </c>
      <c r="E326" s="7" t="s">
        <v>33</v>
      </c>
      <c r="F326" s="7" t="s">
        <v>34</v>
      </c>
      <c r="G326" s="8" t="s">
        <v>3</v>
      </c>
    </row>
    <row r="327">
      <c r="A327" s="9">
        <v>1</v>
      </c>
      <c r="B327" s="10">
        <f>IF(INDEX(rngYear,A327+1)&lt;&gt;0,INDEX(rngYear,A327+1),"")</f>
        <v>1980</v>
      </c>
      <c r="C327" s="11">
        <f>IFERROR(INDEX(rngData,MATCH($B327,rngYear,0),MATCH(OFFSET(C327,-$A327,0),rngColumnNames,0)),"")</f>
        <v>0</v>
      </c>
      <c r="D327" s="11">
        <f>IFERROR(INDEX(rngData,MATCH($B327,rngYear,0),MATCH(OFFSET(D327,-$A327,0),rngColumnNames,0)),"")</f>
        <v>0.512307</v>
      </c>
      <c r="E327" s="11">
        <f>IFERROR(INDEX(rngData,MATCH($B327,rngYear,0),MATCH(OFFSET(E327,-$A327,0),rngColumnNames,0)),"")</f>
        <v>0.499147</v>
      </c>
      <c r="F327" s="11">
        <f>IFERROR(INDEX(rngData,MATCH($B327,rngYear,0),MATCH(OFFSET(F327,-$A327,0),rngColumnNames,0)),"")</f>
        <v>0.526884</v>
      </c>
      <c r="G327" s="11">
        <f ref="G327:G358" t="shared" si="20">IFERROR(F327-E327,"")</f>
        <v>0.027737000000000012</v>
      </c>
    </row>
    <row r="328">
      <c r="A328" s="9">
        <f ref="A328:A359" t="shared" si="21">A327+1</f>
        <v>2</v>
      </c>
      <c r="B328" s="10">
        <f>IF(INDEX(rngYear,A328+1)&lt;&gt;0,INDEX(rngYear,A328+1),"")</f>
        <v>1981</v>
      </c>
      <c r="C328" s="11">
        <f>IFERROR(INDEX(rngData,MATCH($B328,rngYear,0),MATCH(OFFSET(C328,-$A328,0),rngColumnNames,0)),"")</f>
        <v>0</v>
      </c>
      <c r="D328" s="11">
        <f>IFERROR(INDEX(rngData,MATCH($B328,rngYear,0),MATCH(OFFSET(D328,-$A328,0),rngColumnNames,0)),"")</f>
        <v>6.51325</v>
      </c>
      <c r="E328" s="11">
        <f>IFERROR(INDEX(rngData,MATCH($B328,rngYear,0),MATCH(OFFSET(E328,-$A328,0),rngColumnNames,0)),"")</f>
        <v>6.348785</v>
      </c>
      <c r="F328" s="11">
        <f>IFERROR(INDEX(rngData,MATCH($B328,rngYear,0),MATCH(OFFSET(F328,-$A328,0),rngColumnNames,0)),"")</f>
        <v>6.694362</v>
      </c>
      <c r="G328" s="11">
        <f t="shared" si="20"/>
        <v>0.34557699999999958</v>
      </c>
    </row>
    <row r="329">
      <c r="A329" s="9">
        <f t="shared" si="21"/>
        <v>3</v>
      </c>
      <c r="B329" s="10">
        <f>IF(INDEX(rngYear,A329+1)&lt;&gt;0,INDEX(rngYear,A329+1),"")</f>
        <v>1982</v>
      </c>
      <c r="C329" s="11">
        <f>IFERROR(INDEX(rngData,MATCH($B329,rngYear,0),MATCH(OFFSET(C329,-$A329,0),rngColumnNames,0)),"")</f>
        <v>1</v>
      </c>
      <c r="D329" s="11">
        <f>IFERROR(INDEX(rngData,MATCH($B329,rngYear,0),MATCH(OFFSET(D329,-$A329,0),rngColumnNames,0)),"")</f>
        <v>23.360227</v>
      </c>
      <c r="E329" s="11">
        <f>IFERROR(INDEX(rngData,MATCH($B329,rngYear,0),MATCH(OFFSET(E329,-$A329,0),rngColumnNames,0)),"")</f>
        <v>22.782589</v>
      </c>
      <c r="F329" s="11">
        <f>IFERROR(INDEX(rngData,MATCH($B329,rngYear,0),MATCH(OFFSET(F329,-$A329,0),rngColumnNames,0)),"")</f>
        <v>23.986687</v>
      </c>
      <c r="G329" s="11">
        <f t="shared" si="20"/>
        <v>1.2040979999999983</v>
      </c>
    </row>
    <row r="330">
      <c r="A330" s="9">
        <f t="shared" si="21"/>
        <v>4</v>
      </c>
      <c r="B330" s="10">
        <f>IF(INDEX(rngYear,A330+1)&lt;&gt;0,INDEX(rngYear,A330+1),"")</f>
        <v>1983</v>
      </c>
      <c r="C330" s="11">
        <f>IFERROR(INDEX(rngData,MATCH($B330,rngYear,0),MATCH(OFFSET(C330,-$A330,0),rngColumnNames,0)),"")</f>
        <v>5.746486</v>
      </c>
      <c r="D330" s="11">
        <f>IFERROR(INDEX(rngData,MATCH($B330,rngYear,0),MATCH(OFFSET(D330,-$A330,0),rngColumnNames,0)),"")</f>
        <v>53.22372</v>
      </c>
      <c r="E330" s="11">
        <f>IFERROR(INDEX(rngData,MATCH($B330,rngYear,0),MATCH(OFFSET(E330,-$A330,0),rngColumnNames,0)),"")</f>
        <v>51.93808</v>
      </c>
      <c r="F330" s="11">
        <f>IFERROR(INDEX(rngData,MATCH($B330,rngYear,0),MATCH(OFFSET(F330,-$A330,0),rngColumnNames,0)),"")</f>
        <v>54.610253</v>
      </c>
      <c r="G330" s="11">
        <f t="shared" si="20"/>
        <v>2.6721730000000008</v>
      </c>
    </row>
    <row r="331">
      <c r="A331" s="9">
        <f t="shared" si="21"/>
        <v>5</v>
      </c>
      <c r="B331" s="10">
        <f>IF(INDEX(rngYear,A331+1)&lt;&gt;0,INDEX(rngYear,A331+1),"")</f>
        <v>1984</v>
      </c>
      <c r="C331" s="11">
        <f>IFERROR(INDEX(rngData,MATCH($B331,rngYear,0),MATCH(OFFSET(C331,-$A331,0),rngColumnNames,0)),"")</f>
        <v>37.78481</v>
      </c>
      <c r="D331" s="11">
        <f>IFERROR(INDEX(rngData,MATCH($B331,rngYear,0),MATCH(OFFSET(D331,-$A331,0),rngColumnNames,0)),"")</f>
        <v>72.972624</v>
      </c>
      <c r="E331" s="11">
        <f>IFERROR(INDEX(rngData,MATCH($B331,rngYear,0),MATCH(OFFSET(E331,-$A331,0),rngColumnNames,0)),"")</f>
        <v>69.062693</v>
      </c>
      <c r="F331" s="11">
        <f>IFERROR(INDEX(rngData,MATCH($B331,rngYear,0),MATCH(OFFSET(F331,-$A331,0),rngColumnNames,0)),"")</f>
        <v>75.958046</v>
      </c>
      <c r="G331" s="11">
        <f t="shared" si="20"/>
        <v>6.895353</v>
      </c>
    </row>
    <row r="332">
      <c r="A332" s="9">
        <f t="shared" si="21"/>
        <v>6</v>
      </c>
      <c r="B332" s="10">
        <f>IF(INDEX(rngYear,A332+1)&lt;&gt;0,INDEX(rngYear,A332+1),"")</f>
        <v>1985</v>
      </c>
      <c r="C332" s="11">
        <f>IFERROR(INDEX(rngData,MATCH($B332,rngYear,0),MATCH(OFFSET(C332,-$A332,0),rngColumnNames,0)),"")</f>
        <v>102.791932</v>
      </c>
      <c r="D332" s="11">
        <f>IFERROR(INDEX(rngData,MATCH($B332,rngYear,0),MATCH(OFFSET(D332,-$A332,0),rngColumnNames,0)),"")</f>
        <v>81.980673</v>
      </c>
      <c r="E332" s="11">
        <f>IFERROR(INDEX(rngData,MATCH($B332,rngYear,0),MATCH(OFFSET(E332,-$A332,0),rngColumnNames,0)),"")</f>
        <v>74.300911</v>
      </c>
      <c r="F332" s="11">
        <f>IFERROR(INDEX(rngData,MATCH($B332,rngYear,0),MATCH(OFFSET(F332,-$A332,0),rngColumnNames,0)),"")</f>
        <v>88.20681</v>
      </c>
      <c r="G332" s="11">
        <f t="shared" si="20"/>
        <v>13.905899000000005</v>
      </c>
    </row>
    <row r="333">
      <c r="A333" s="9">
        <f t="shared" si="21"/>
        <v>7</v>
      </c>
      <c r="B333" s="10">
        <f>IF(INDEX(rngYear,A333+1)&lt;&gt;0,INDEX(rngYear,A333+1),"")</f>
        <v>1986</v>
      </c>
      <c r="C333" s="11">
        <f>IFERROR(INDEX(rngData,MATCH($B333,rngYear,0),MATCH(OFFSET(C333,-$A333,0),rngColumnNames,0)),"")</f>
        <v>155.147493</v>
      </c>
      <c r="D333" s="11">
        <f>IFERROR(INDEX(rngData,MATCH($B333,rngYear,0),MATCH(OFFSET(D333,-$A333,0),rngColumnNames,0)),"")</f>
        <v>101.431737</v>
      </c>
      <c r="E333" s="11">
        <f>IFERROR(INDEX(rngData,MATCH($B333,rngYear,0),MATCH(OFFSET(E333,-$A333,0),rngColumnNames,0)),"")</f>
        <v>92.617464</v>
      </c>
      <c r="F333" s="11">
        <f>IFERROR(INDEX(rngData,MATCH($B333,rngYear,0),MATCH(OFFSET(F333,-$A333,0),rngColumnNames,0)),"")</f>
        <v>108.008547</v>
      </c>
      <c r="G333" s="11">
        <f t="shared" si="20"/>
        <v>15.391082999999995</v>
      </c>
    </row>
    <row r="334">
      <c r="A334" s="9">
        <f t="shared" si="21"/>
        <v>8</v>
      </c>
      <c r="B334" s="10">
        <f>IF(INDEX(rngYear,A334+1)&lt;&gt;0,INDEX(rngYear,A334+1),"")</f>
        <v>1987</v>
      </c>
      <c r="C334" s="11">
        <f>IFERROR(INDEX(rngData,MATCH($B334,rngYear,0),MATCH(OFFSET(C334,-$A334,0),rngColumnNames,0)),"")</f>
        <v>157.710584</v>
      </c>
      <c r="D334" s="11">
        <f>IFERROR(INDEX(rngData,MATCH($B334,rngYear,0),MATCH(OFFSET(D334,-$A334,0),rngColumnNames,0)),"")</f>
        <v>122.381126</v>
      </c>
      <c r="E334" s="11">
        <f>IFERROR(INDEX(rngData,MATCH($B334,rngYear,0),MATCH(OFFSET(E334,-$A334,0),rngColumnNames,0)),"")</f>
        <v>113.438891</v>
      </c>
      <c r="F334" s="11">
        <f>IFERROR(INDEX(rngData,MATCH($B334,rngYear,0),MATCH(OFFSET(F334,-$A334,0),rngColumnNames,0)),"")</f>
        <v>128.903473</v>
      </c>
      <c r="G334" s="11">
        <f t="shared" si="20"/>
        <v>15.464581999999993</v>
      </c>
    </row>
    <row r="335">
      <c r="A335" s="9">
        <f t="shared" si="21"/>
        <v>9</v>
      </c>
      <c r="B335" s="10">
        <f>IF(INDEX(rngYear,A335+1)&lt;&gt;0,INDEX(rngYear,A335+1),"")</f>
        <v>1988</v>
      </c>
      <c r="C335" s="11">
        <f>IFERROR(INDEX(rngData,MATCH($B335,rngYear,0),MATCH(OFFSET(C335,-$A335,0),rngColumnNames,0)),"")</f>
        <v>199.490116</v>
      </c>
      <c r="D335" s="11">
        <f>IFERROR(INDEX(rngData,MATCH($B335,rngYear,0),MATCH(OFFSET(D335,-$A335,0),rngColumnNames,0)),"")</f>
        <v>141.192275</v>
      </c>
      <c r="E335" s="11">
        <f>IFERROR(INDEX(rngData,MATCH($B335,rngYear,0),MATCH(OFFSET(E335,-$A335,0),rngColumnNames,0)),"")</f>
        <v>131.970383</v>
      </c>
      <c r="F335" s="11">
        <f>IFERROR(INDEX(rngData,MATCH($B335,rngYear,0),MATCH(OFFSET(F335,-$A335,0),rngColumnNames,0)),"")</f>
        <v>148.067392</v>
      </c>
      <c r="G335" s="11">
        <f t="shared" si="20"/>
        <v>16.097009000000014</v>
      </c>
    </row>
    <row r="336">
      <c r="A336" s="9">
        <f t="shared" si="21"/>
        <v>10</v>
      </c>
      <c r="B336" s="10">
        <f>IF(INDEX(rngYear,A336+1)&lt;&gt;0,INDEX(rngYear,A336+1),"")</f>
        <v>1989</v>
      </c>
      <c r="C336" s="11">
        <f>IFERROR(INDEX(rngData,MATCH($B336,rngYear,0),MATCH(OFFSET(C336,-$A336,0),rngColumnNames,0)),"")</f>
        <v>206.937225</v>
      </c>
      <c r="D336" s="11">
        <f>IFERROR(INDEX(rngData,MATCH($B336,rngYear,0),MATCH(OFFSET(D336,-$A336,0),rngColumnNames,0)),"")</f>
        <v>156.110736</v>
      </c>
      <c r="E336" s="11">
        <f>IFERROR(INDEX(rngData,MATCH($B336,rngYear,0),MATCH(OFFSET(E336,-$A336,0),rngColumnNames,0)),"")</f>
        <v>147.5357</v>
      </c>
      <c r="F336" s="11">
        <f>IFERROR(INDEX(rngData,MATCH($B336,rngYear,0),MATCH(OFFSET(F336,-$A336,0),rngColumnNames,0)),"")</f>
        <v>162.760331</v>
      </c>
      <c r="G336" s="11">
        <f t="shared" si="20"/>
        <v>15.224631000000017</v>
      </c>
    </row>
    <row r="337">
      <c r="A337" s="9">
        <f t="shared" si="21"/>
        <v>11</v>
      </c>
      <c r="B337" s="10">
        <f>IF(INDEX(rngYear,A337+1)&lt;&gt;0,INDEX(rngYear,A337+1),"")</f>
        <v>1990</v>
      </c>
      <c r="C337" s="11">
        <f>IFERROR(INDEX(rngData,MATCH($B337,rngYear,0),MATCH(OFFSET(C337,-$A337,0),rngColumnNames,0)),"")</f>
        <v>161.467277</v>
      </c>
      <c r="D337" s="11">
        <f>IFERROR(INDEX(rngData,MATCH($B337,rngYear,0),MATCH(OFFSET(D337,-$A337,0),rngColumnNames,0)),"")</f>
        <v>166.273118</v>
      </c>
      <c r="E337" s="11">
        <f>IFERROR(INDEX(rngData,MATCH($B337,rngYear,0),MATCH(OFFSET(E337,-$A337,0),rngColumnNames,0)),"")</f>
        <v>159.375426</v>
      </c>
      <c r="F337" s="11">
        <f>IFERROR(INDEX(rngData,MATCH($B337,rngYear,0),MATCH(OFFSET(F337,-$A337,0),rngColumnNames,0)),"")</f>
        <v>172.555857</v>
      </c>
      <c r="G337" s="11">
        <f t="shared" si="20"/>
        <v>13.180430999999999</v>
      </c>
    </row>
    <row r="338">
      <c r="A338" s="9">
        <f t="shared" si="21"/>
        <v>12</v>
      </c>
      <c r="B338" s="10">
        <f>IF(INDEX(rngYear,A338+1)&lt;&gt;0,INDEX(rngYear,A338+1),"")</f>
        <v>1991</v>
      </c>
      <c r="C338" s="11">
        <f>IFERROR(INDEX(rngData,MATCH($B338,rngYear,0),MATCH(OFFSET(C338,-$A338,0),rngColumnNames,0)),"")</f>
        <v>166.160969</v>
      </c>
      <c r="D338" s="11">
        <f>IFERROR(INDEX(rngData,MATCH($B338,rngYear,0),MATCH(OFFSET(D338,-$A338,0),rngColumnNames,0)),"")</f>
        <v>171.422778</v>
      </c>
      <c r="E338" s="11">
        <f>IFERROR(INDEX(rngData,MATCH($B338,rngYear,0),MATCH(OFFSET(E338,-$A338,0),rngColumnNames,0)),"")</f>
        <v>164.412197</v>
      </c>
      <c r="F338" s="11">
        <f>IFERROR(INDEX(rngData,MATCH($B338,rngYear,0),MATCH(OFFSET(F338,-$A338,0),rngColumnNames,0)),"")</f>
        <v>178.592029</v>
      </c>
      <c r="G338" s="11">
        <f t="shared" si="20"/>
        <v>14.179832000000005</v>
      </c>
    </row>
    <row r="339">
      <c r="A339" s="9">
        <f t="shared" si="21"/>
        <v>13</v>
      </c>
      <c r="B339" s="10">
        <f>IF(INDEX(rngYear,A339+1)&lt;&gt;0,INDEX(rngYear,A339+1),"")</f>
        <v>1992</v>
      </c>
      <c r="C339" s="11">
        <f>IFERROR(INDEX(rngData,MATCH($B339,rngYear,0),MATCH(OFFSET(C339,-$A339,0),rngColumnNames,0)),"")</f>
        <v>159.287238</v>
      </c>
      <c r="D339" s="11">
        <f>IFERROR(INDEX(rngData,MATCH($B339,rngYear,0),MATCH(OFFSET(D339,-$A339,0),rngColumnNames,0)),"")</f>
        <v>171.787229</v>
      </c>
      <c r="E339" s="11">
        <f>IFERROR(INDEX(rngData,MATCH($B339,rngYear,0),MATCH(OFFSET(E339,-$A339,0),rngColumnNames,0)),"")</f>
        <v>164.500065</v>
      </c>
      <c r="F339" s="11">
        <f>IFERROR(INDEX(rngData,MATCH($B339,rngYear,0),MATCH(OFFSET(F339,-$A339,0),rngColumnNames,0)),"")</f>
        <v>179.977331</v>
      </c>
      <c r="G339" s="11">
        <f t="shared" si="20"/>
        <v>15.477265999999986</v>
      </c>
    </row>
    <row r="340">
      <c r="A340" s="9">
        <f t="shared" si="21"/>
        <v>14</v>
      </c>
      <c r="B340" s="10">
        <f>IF(INDEX(rngYear,A340+1)&lt;&gt;0,INDEX(rngYear,A340+1),"")</f>
        <v>1993</v>
      </c>
      <c r="C340" s="11">
        <f>IFERROR(INDEX(rngData,MATCH($B340,rngYear,0),MATCH(OFFSET(C340,-$A340,0),rngColumnNames,0)),"")</f>
        <v>135.940522</v>
      </c>
      <c r="D340" s="11">
        <f>IFERROR(INDEX(rngData,MATCH($B340,rngYear,0),MATCH(OFFSET(D340,-$A340,0),rngColumnNames,0)),"")</f>
        <v>167.540437</v>
      </c>
      <c r="E340" s="11">
        <f>IFERROR(INDEX(rngData,MATCH($B340,rngYear,0),MATCH(OFFSET(E340,-$A340,0),rngColumnNames,0)),"")</f>
        <v>158.624317</v>
      </c>
      <c r="F340" s="11">
        <f>IFERROR(INDEX(rngData,MATCH($B340,rngYear,0),MATCH(OFFSET(F340,-$A340,0),rngColumnNames,0)),"")</f>
        <v>176.252377</v>
      </c>
      <c r="G340" s="11">
        <f t="shared" si="20"/>
        <v>17.628060000000005</v>
      </c>
    </row>
    <row r="341">
      <c r="A341" s="9">
        <f t="shared" si="21"/>
        <v>15</v>
      </c>
      <c r="B341" s="10">
        <f>IF(INDEX(rngYear,A341+1)&lt;&gt;0,INDEX(rngYear,A341+1),"")</f>
        <v>1994</v>
      </c>
      <c r="C341" s="11">
        <f>IFERROR(INDEX(rngData,MATCH($B341,rngYear,0),MATCH(OFFSET(C341,-$A341,0),rngColumnNames,0)),"")</f>
        <v>165.701805</v>
      </c>
      <c r="D341" s="11">
        <f>IFERROR(INDEX(rngData,MATCH($B341,rngYear,0),MATCH(OFFSET(D341,-$A341,0),rngColumnNames,0)),"")</f>
        <v>158.342549</v>
      </c>
      <c r="E341" s="11">
        <f>IFERROR(INDEX(rngData,MATCH($B341,rngYear,0),MATCH(OFFSET(E341,-$A341,0),rngColumnNames,0)),"")</f>
        <v>149.431359</v>
      </c>
      <c r="F341" s="11">
        <f>IFERROR(INDEX(rngData,MATCH($B341,rngYear,0),MATCH(OFFSET(F341,-$A341,0),rngColumnNames,0)),"")</f>
        <v>167.120047</v>
      </c>
      <c r="G341" s="11">
        <f t="shared" si="20"/>
        <v>17.688688000000013</v>
      </c>
    </row>
    <row r="342">
      <c r="A342" s="9">
        <f t="shared" si="21"/>
        <v>16</v>
      </c>
      <c r="B342" s="10">
        <f>IF(INDEX(rngYear,A342+1)&lt;&gt;0,INDEX(rngYear,A342+1),"")</f>
        <v>1995</v>
      </c>
      <c r="C342" s="11">
        <f>IFERROR(INDEX(rngData,MATCH($B342,rngYear,0),MATCH(OFFSET(C342,-$A342,0),rngColumnNames,0)),"")</f>
        <v>142.567684</v>
      </c>
      <c r="D342" s="11">
        <f>IFERROR(INDEX(rngData,MATCH($B342,rngYear,0),MATCH(OFFSET(D342,-$A342,0),rngColumnNames,0)),"")</f>
        <v>146.511868</v>
      </c>
      <c r="E342" s="11">
        <f>IFERROR(INDEX(rngData,MATCH($B342,rngYear,0),MATCH(OFFSET(E342,-$A342,0),rngColumnNames,0)),"")</f>
        <v>138.368921</v>
      </c>
      <c r="F342" s="11">
        <f>IFERROR(INDEX(rngData,MATCH($B342,rngYear,0),MATCH(OFFSET(F342,-$A342,0),rngColumnNames,0)),"")</f>
        <v>155.040872</v>
      </c>
      <c r="G342" s="11">
        <f t="shared" si="20"/>
        <v>16.671951000000007</v>
      </c>
    </row>
    <row r="343">
      <c r="A343" s="9">
        <f t="shared" si="21"/>
        <v>17</v>
      </c>
      <c r="B343" s="10">
        <f>IF(INDEX(rngYear,A343+1)&lt;&gt;0,INDEX(rngYear,A343+1),"")</f>
        <v>1996</v>
      </c>
      <c r="C343" s="11">
        <f>IFERROR(INDEX(rngData,MATCH($B343,rngYear,0),MATCH(OFFSET(C343,-$A343,0),rngColumnNames,0)),"")</f>
        <v>145.588637</v>
      </c>
      <c r="D343" s="11">
        <f>IFERROR(INDEX(rngData,MATCH($B343,rngYear,0),MATCH(OFFSET(D343,-$A343,0),rngColumnNames,0)),"")</f>
        <v>134.093491</v>
      </c>
      <c r="E343" s="11">
        <f>IFERROR(INDEX(rngData,MATCH($B343,rngYear,0),MATCH(OFFSET(E343,-$A343,0),rngColumnNames,0)),"")</f>
        <v>126.191563</v>
      </c>
      <c r="F343" s="11">
        <f>IFERROR(INDEX(rngData,MATCH($B343,rngYear,0),MATCH(OFFSET(F343,-$A343,0),rngColumnNames,0)),"")</f>
        <v>141.337253</v>
      </c>
      <c r="G343" s="11">
        <f t="shared" si="20"/>
        <v>15.145690000000002</v>
      </c>
    </row>
    <row r="344">
      <c r="A344" s="9">
        <f t="shared" si="21"/>
        <v>18</v>
      </c>
      <c r="B344" s="10">
        <f>IF(INDEX(rngYear,A344+1)&lt;&gt;0,INDEX(rngYear,A344+1),"")</f>
        <v>1997</v>
      </c>
      <c r="C344" s="11">
        <f>IFERROR(INDEX(rngData,MATCH($B344,rngYear,0),MATCH(OFFSET(C344,-$A344,0),rngColumnNames,0)),"")</f>
        <v>120.763874</v>
      </c>
      <c r="D344" s="11">
        <f>IFERROR(INDEX(rngData,MATCH($B344,rngYear,0),MATCH(OFFSET(D344,-$A344,0),rngColumnNames,0)),"")</f>
        <v>122.34413</v>
      </c>
      <c r="E344" s="11">
        <f>IFERROR(INDEX(rngData,MATCH($B344,rngYear,0),MATCH(OFFSET(E344,-$A344,0),rngColumnNames,0)),"")</f>
        <v>115.679482</v>
      </c>
      <c r="F344" s="11">
        <f>IFERROR(INDEX(rngData,MATCH($B344,rngYear,0),MATCH(OFFSET(F344,-$A344,0),rngColumnNames,0)),"")</f>
        <v>129.068914</v>
      </c>
      <c r="G344" s="11">
        <f t="shared" si="20"/>
        <v>13.389432000000014</v>
      </c>
    </row>
    <row r="345">
      <c r="A345" s="9">
        <f t="shared" si="21"/>
        <v>19</v>
      </c>
      <c r="B345" s="10">
        <f>IF(INDEX(rngYear,A345+1)&lt;&gt;0,INDEX(rngYear,A345+1),"")</f>
        <v>1998</v>
      </c>
      <c r="C345" s="11">
        <f>IFERROR(INDEX(rngData,MATCH($B345,rngYear,0),MATCH(OFFSET(C345,-$A345,0),rngColumnNames,0)),"")</f>
        <v>113.596308</v>
      </c>
      <c r="D345" s="11">
        <f>IFERROR(INDEX(rngData,MATCH($B345,rngYear,0),MATCH(OFFSET(D345,-$A345,0),rngColumnNames,0)),"")</f>
        <v>112.060448</v>
      </c>
      <c r="E345" s="11">
        <f>IFERROR(INDEX(rngData,MATCH($B345,rngYear,0),MATCH(OFFSET(E345,-$A345,0),rngColumnNames,0)),"")</f>
        <v>106.140347</v>
      </c>
      <c r="F345" s="11">
        <f>IFERROR(INDEX(rngData,MATCH($B345,rngYear,0),MATCH(OFFSET(F345,-$A345,0),rngColumnNames,0)),"")</f>
        <v>117.683049</v>
      </c>
      <c r="G345" s="11">
        <f t="shared" si="20"/>
        <v>11.542701999999991</v>
      </c>
    </row>
    <row r="346">
      <c r="A346" s="9">
        <f t="shared" si="21"/>
        <v>20</v>
      </c>
      <c r="B346" s="10">
        <f>IF(INDEX(rngYear,A346+1)&lt;&gt;0,INDEX(rngYear,A346+1),"")</f>
        <v>1999</v>
      </c>
      <c r="C346" s="11">
        <f>IFERROR(INDEX(rngData,MATCH($B346,rngYear,0),MATCH(OFFSET(C346,-$A346,0),rngColumnNames,0)),"")</f>
        <v>81.966014</v>
      </c>
      <c r="D346" s="11">
        <f>IFERROR(INDEX(rngData,MATCH($B346,rngYear,0),MATCH(OFFSET(D346,-$A346,0),rngColumnNames,0)),"")</f>
        <v>103.731424</v>
      </c>
      <c r="E346" s="11">
        <f>IFERROR(INDEX(rngData,MATCH($B346,rngYear,0),MATCH(OFFSET(E346,-$A346,0),rngColumnNames,0)),"")</f>
        <v>97.890769</v>
      </c>
      <c r="F346" s="11">
        <f>IFERROR(INDEX(rngData,MATCH($B346,rngYear,0),MATCH(OFFSET(F346,-$A346,0),rngColumnNames,0)),"")</f>
        <v>109.085982</v>
      </c>
      <c r="G346" s="11">
        <f t="shared" si="20"/>
        <v>11.195212999999995</v>
      </c>
    </row>
    <row r="347">
      <c r="A347" s="9">
        <f t="shared" si="21"/>
        <v>21</v>
      </c>
      <c r="B347" s="10">
        <f>IF(INDEX(rngYear,A347+1)&lt;&gt;0,INDEX(rngYear,A347+1),"")</f>
        <v>2000</v>
      </c>
      <c r="C347" s="11">
        <f>IFERROR(INDEX(rngData,MATCH($B347,rngYear,0),MATCH(OFFSET(C347,-$A347,0),rngColumnNames,0)),"")</f>
        <v>94.46098</v>
      </c>
      <c r="D347" s="11">
        <f>IFERROR(INDEX(rngData,MATCH($B347,rngYear,0),MATCH(OFFSET(D347,-$A347,0),rngColumnNames,0)),"")</f>
        <v>97.620213</v>
      </c>
      <c r="E347" s="11">
        <f>IFERROR(INDEX(rngData,MATCH($B347,rngYear,0),MATCH(OFFSET(E347,-$A347,0),rngColumnNames,0)),"")</f>
        <v>91.81872</v>
      </c>
      <c r="F347" s="11">
        <f>IFERROR(INDEX(rngData,MATCH($B347,rngYear,0),MATCH(OFFSET(F347,-$A347,0),rngColumnNames,0)),"")</f>
        <v>103.997687</v>
      </c>
      <c r="G347" s="11">
        <f t="shared" si="20"/>
        <v>12.178967</v>
      </c>
    </row>
    <row r="348">
      <c r="A348" s="9">
        <f t="shared" si="21"/>
        <v>22</v>
      </c>
      <c r="B348" s="10">
        <f>IF(INDEX(rngYear,A348+1)&lt;&gt;0,INDEX(rngYear,A348+1),"")</f>
        <v>2001</v>
      </c>
      <c r="C348" s="11">
        <f>IFERROR(INDEX(rngData,MATCH($B348,rngYear,0),MATCH(OFFSET(C348,-$A348,0),rngColumnNames,0)),"")</f>
        <v>75.934547</v>
      </c>
      <c r="D348" s="11">
        <f>IFERROR(INDEX(rngData,MATCH($B348,rngYear,0),MATCH(OFFSET(D348,-$A348,0),rngColumnNames,0)),"")</f>
        <v>93.816805</v>
      </c>
      <c r="E348" s="11">
        <f>IFERROR(INDEX(rngData,MATCH($B348,rngYear,0),MATCH(OFFSET(E348,-$A348,0),rngColumnNames,0)),"")</f>
        <v>87.404463</v>
      </c>
      <c r="F348" s="11">
        <f>IFERROR(INDEX(rngData,MATCH($B348,rngYear,0),MATCH(OFFSET(F348,-$A348,0),rngColumnNames,0)),"")</f>
        <v>101.137421</v>
      </c>
      <c r="G348" s="11">
        <f t="shared" si="20"/>
        <v>13.732957999999996</v>
      </c>
    </row>
    <row r="349">
      <c r="A349" s="9">
        <f t="shared" si="21"/>
        <v>23</v>
      </c>
      <c r="B349" s="10">
        <f>IF(INDEX(rngYear,A349+1)&lt;&gt;0,INDEX(rngYear,A349+1),"")</f>
        <v>2002</v>
      </c>
      <c r="C349" s="11">
        <f>IFERROR(INDEX(rngData,MATCH($B349,rngYear,0),MATCH(OFFSET(C349,-$A349,0),rngColumnNames,0)),"")</f>
        <v>90.064279</v>
      </c>
      <c r="D349" s="11">
        <f>IFERROR(INDEX(rngData,MATCH($B349,rngYear,0),MATCH(OFFSET(D349,-$A349,0),rngColumnNames,0)),"")</f>
        <v>91.669916</v>
      </c>
      <c r="E349" s="11">
        <f>IFERROR(INDEX(rngData,MATCH($B349,rngYear,0),MATCH(OFFSET(E349,-$A349,0),rngColumnNames,0)),"")</f>
        <v>85.21249</v>
      </c>
      <c r="F349" s="11">
        <f>IFERROR(INDEX(rngData,MATCH($B349,rngYear,0),MATCH(OFFSET(F349,-$A349,0),rngColumnNames,0)),"")</f>
        <v>99.648262</v>
      </c>
      <c r="G349" s="11">
        <f t="shared" si="20"/>
        <v>14.435772</v>
      </c>
    </row>
    <row r="350">
      <c r="A350" s="9">
        <f t="shared" si="21"/>
        <v>24</v>
      </c>
      <c r="B350" s="10">
        <f>IF(INDEX(rngYear,A350+1)&lt;&gt;0,INDEX(rngYear,A350+1),"")</f>
        <v>2003</v>
      </c>
      <c r="C350" s="11">
        <f>IFERROR(INDEX(rngData,MATCH($B350,rngYear,0),MATCH(OFFSET(C350,-$A350,0),rngColumnNames,0)),"")</f>
        <v>91.645987</v>
      </c>
      <c r="D350" s="11">
        <f>IFERROR(INDEX(rngData,MATCH($B350,rngYear,0),MATCH(OFFSET(D350,-$A350,0),rngColumnNames,0)),"")</f>
        <v>88.779442</v>
      </c>
      <c r="E350" s="11">
        <f>IFERROR(INDEX(rngData,MATCH($B350,rngYear,0),MATCH(OFFSET(E350,-$A350,0),rngColumnNames,0)),"")</f>
        <v>82.623514</v>
      </c>
      <c r="F350" s="11">
        <f>IFERROR(INDEX(rngData,MATCH($B350,rngYear,0),MATCH(OFFSET(F350,-$A350,0),rngColumnNames,0)),"")</f>
        <v>96.487335</v>
      </c>
      <c r="G350" s="11">
        <f t="shared" si="20"/>
        <v>13.863821000000002</v>
      </c>
    </row>
    <row r="351">
      <c r="A351" s="9">
        <f t="shared" si="21"/>
        <v>25</v>
      </c>
      <c r="B351" s="10">
        <f>IF(INDEX(rngYear,A351+1)&lt;&gt;0,INDEX(rngYear,A351+1),"")</f>
        <v>2004</v>
      </c>
      <c r="C351" s="11">
        <f>IFERROR(INDEX(rngData,MATCH($B351,rngYear,0),MATCH(OFFSET(C351,-$A351,0),rngColumnNames,0)),"")</f>
        <v>77.736729</v>
      </c>
      <c r="D351" s="11">
        <f>IFERROR(INDEX(rngData,MATCH($B351,rngYear,0),MATCH(OFFSET(D351,-$A351,0),rngColumnNames,0)),"")</f>
        <v>85.676033</v>
      </c>
      <c r="E351" s="11">
        <f>IFERROR(INDEX(rngData,MATCH($B351,rngYear,0),MATCH(OFFSET(E351,-$A351,0),rngColumnNames,0)),"")</f>
        <v>79.277369</v>
      </c>
      <c r="F351" s="11">
        <f>IFERROR(INDEX(rngData,MATCH($B351,rngYear,0),MATCH(OFFSET(F351,-$A351,0),rngColumnNames,0)),"")</f>
        <v>92.456774</v>
      </c>
      <c r="G351" s="11">
        <f t="shared" si="20"/>
        <v>13.179405000000003</v>
      </c>
    </row>
    <row r="352">
      <c r="A352" s="9">
        <f t="shared" si="21"/>
        <v>26</v>
      </c>
      <c r="B352" s="10">
        <f>IF(INDEX(rngYear,A352+1)&lt;&gt;0,INDEX(rngYear,A352+1),"")</f>
        <v>2005</v>
      </c>
      <c r="C352" s="11">
        <f>IFERROR(INDEX(rngData,MATCH($B352,rngYear,0),MATCH(OFFSET(C352,-$A352,0),rngColumnNames,0)),"")</f>
        <v>108.421797</v>
      </c>
      <c r="D352" s="11">
        <f>IFERROR(INDEX(rngData,MATCH($B352,rngYear,0),MATCH(OFFSET(D352,-$A352,0),rngColumnNames,0)),"")</f>
        <v>83.126366</v>
      </c>
      <c r="E352" s="11">
        <f>IFERROR(INDEX(rngData,MATCH($B352,rngYear,0),MATCH(OFFSET(E352,-$A352,0),rngColumnNames,0)),"")</f>
        <v>77.177605</v>
      </c>
      <c r="F352" s="11">
        <f>IFERROR(INDEX(rngData,MATCH($B352,rngYear,0),MATCH(OFFSET(F352,-$A352,0),rngColumnNames,0)),"")</f>
        <v>88.140775</v>
      </c>
      <c r="G352" s="11">
        <f t="shared" si="20"/>
        <v>10.963170000000005</v>
      </c>
    </row>
    <row r="353">
      <c r="A353" s="9">
        <f t="shared" si="21"/>
        <v>27</v>
      </c>
      <c r="B353" s="10">
        <f>IF(INDEX(rngYear,A353+1)&lt;&gt;0,INDEX(rngYear,A353+1),"")</f>
        <v>2006</v>
      </c>
      <c r="C353" s="11">
        <f>IFERROR(INDEX(rngData,MATCH($B353,rngYear,0),MATCH(OFFSET(C353,-$A353,0),rngColumnNames,0)),"")</f>
        <v>117.640479</v>
      </c>
      <c r="D353" s="11">
        <f>IFERROR(INDEX(rngData,MATCH($B353,rngYear,0),MATCH(OFFSET(D353,-$A353,0),rngColumnNames,0)),"")</f>
        <v>81.27167</v>
      </c>
      <c r="E353" s="11">
        <f>IFERROR(INDEX(rngData,MATCH($B353,rngYear,0),MATCH(OFFSET(E353,-$A353,0),rngColumnNames,0)),"")</f>
        <v>75.941107</v>
      </c>
      <c r="F353" s="11">
        <f>IFERROR(INDEX(rngData,MATCH($B353,rngYear,0),MATCH(OFFSET(F353,-$A353,0),rngColumnNames,0)),"")</f>
        <v>85.285826</v>
      </c>
      <c r="G353" s="11">
        <f t="shared" si="20"/>
        <v>9.3447189999999978</v>
      </c>
    </row>
    <row r="354">
      <c r="A354" s="9">
        <f t="shared" si="21"/>
        <v>28</v>
      </c>
      <c r="B354" s="10">
        <f>IF(INDEX(rngYear,A354+1)&lt;&gt;0,INDEX(rngYear,A354+1),"")</f>
        <v>2007</v>
      </c>
      <c r="C354" s="11">
        <f>IFERROR(INDEX(rngData,MATCH($B354,rngYear,0),MATCH(OFFSET(C354,-$A354,0),rngColumnNames,0)),"")</f>
        <v>80.208845</v>
      </c>
      <c r="D354" s="11">
        <f>IFERROR(INDEX(rngData,MATCH($B354,rngYear,0),MATCH(OFFSET(D354,-$A354,0),rngColumnNames,0)),"")</f>
        <v>79.931999</v>
      </c>
      <c r="E354" s="11">
        <f>IFERROR(INDEX(rngData,MATCH($B354,rngYear,0),MATCH(OFFSET(E354,-$A354,0),rngColumnNames,0)),"")</f>
        <v>75.197078</v>
      </c>
      <c r="F354" s="11">
        <f>IFERROR(INDEX(rngData,MATCH($B354,rngYear,0),MATCH(OFFSET(F354,-$A354,0),rngColumnNames,0)),"")</f>
        <v>83.578677</v>
      </c>
      <c r="G354" s="11">
        <f t="shared" si="20"/>
        <v>8.3815989999999942</v>
      </c>
    </row>
    <row r="355">
      <c r="A355" s="9">
        <f t="shared" si="21"/>
        <v>29</v>
      </c>
      <c r="B355" s="10">
        <f>IF(INDEX(rngYear,A355+1)&lt;&gt;0,INDEX(rngYear,A355+1),"")</f>
        <v>2008</v>
      </c>
      <c r="C355" s="11">
        <f>IFERROR(INDEX(rngData,MATCH($B355,rngYear,0),MATCH(OFFSET(C355,-$A355,0),rngColumnNames,0)),"")</f>
        <v>70.871639</v>
      </c>
      <c r="D355" s="11">
        <f>IFERROR(INDEX(rngData,MATCH($B355,rngYear,0),MATCH(OFFSET(D355,-$A355,0),rngColumnNames,0)),"")</f>
        <v>78.814697</v>
      </c>
      <c r="E355" s="11">
        <f>IFERROR(INDEX(rngData,MATCH($B355,rngYear,0),MATCH(OFFSET(E355,-$A355,0),rngColumnNames,0)),"")</f>
        <v>73.725932</v>
      </c>
      <c r="F355" s="11">
        <f>IFERROR(INDEX(rngData,MATCH($B355,rngYear,0),MATCH(OFFSET(F355,-$A355,0),rngColumnNames,0)),"")</f>
        <v>82.851072</v>
      </c>
      <c r="G355" s="11">
        <f t="shared" si="20"/>
        <v>9.1251400000000018</v>
      </c>
    </row>
    <row r="356">
      <c r="A356" s="9">
        <f t="shared" si="21"/>
        <v>30</v>
      </c>
      <c r="B356" s="10">
        <f>IF(INDEX(rngYear,A356+1)&lt;&gt;0,INDEX(rngYear,A356+1),"")</f>
        <v>2009</v>
      </c>
      <c r="C356" s="11">
        <f>IFERROR(INDEX(rngData,MATCH($B356,rngYear,0),MATCH(OFFSET(C356,-$A356,0),rngColumnNames,0)),"")</f>
        <v>89.389646</v>
      </c>
      <c r="D356" s="11">
        <f>IFERROR(INDEX(rngData,MATCH($B356,rngYear,0),MATCH(OFFSET(D356,-$A356,0),rngColumnNames,0)),"")</f>
        <v>77.618743</v>
      </c>
      <c r="E356" s="11">
        <f>IFERROR(INDEX(rngData,MATCH($B356,rngYear,0),MATCH(OFFSET(E356,-$A356,0),rngColumnNames,0)),"")</f>
        <v>71.84272</v>
      </c>
      <c r="F356" s="11">
        <f>IFERROR(INDEX(rngData,MATCH($B356,rngYear,0),MATCH(OFFSET(F356,-$A356,0),rngColumnNames,0)),"")</f>
        <v>82.451876</v>
      </c>
      <c r="G356" s="11">
        <f t="shared" si="20"/>
        <v>10.609155999999999</v>
      </c>
    </row>
    <row r="357">
      <c r="A357" s="9">
        <f t="shared" si="21"/>
        <v>31</v>
      </c>
      <c r="B357" s="10">
        <f>IF(INDEX(rngYear,A357+1)&lt;&gt;0,INDEX(rngYear,A357+1),"")</f>
        <v>2010</v>
      </c>
      <c r="C357" s="11">
        <f>IFERROR(INDEX(rngData,MATCH($B357,rngYear,0),MATCH(OFFSET(C357,-$A357,0),rngColumnNames,0)),"")</f>
        <v>90.082238</v>
      </c>
      <c r="D357" s="11">
        <f>IFERROR(INDEX(rngData,MATCH($B357,rngYear,0),MATCH(OFFSET(D357,-$A357,0),rngColumnNames,0)),"")</f>
        <v>76.092056</v>
      </c>
      <c r="E357" s="11">
        <f>IFERROR(INDEX(rngData,MATCH($B357,rngYear,0),MATCH(OFFSET(E357,-$A357,0),rngColumnNames,0)),"")</f>
        <v>69.752825</v>
      </c>
      <c r="F357" s="11">
        <f>IFERROR(INDEX(rngData,MATCH($B357,rngYear,0),MATCH(OFFSET(F357,-$A357,0),rngColumnNames,0)),"")</f>
        <v>81.803859</v>
      </c>
      <c r="G357" s="11">
        <f t="shared" si="20"/>
        <v>12.051034000000001</v>
      </c>
    </row>
    <row r="358">
      <c r="A358" s="9">
        <f t="shared" si="21"/>
        <v>32</v>
      </c>
      <c r="B358" s="10">
        <f>IF(INDEX(rngYear,A358+1)&lt;&gt;0,INDEX(rngYear,A358+1),"")</f>
        <v>2011</v>
      </c>
      <c r="C358" s="11">
        <f>IFERROR(INDEX(rngData,MATCH($B358,rngYear,0),MATCH(OFFSET(C358,-$A358,0),rngColumnNames,0)),"")</f>
        <v>73.244033</v>
      </c>
      <c r="D358" s="11">
        <f>IFERROR(INDEX(rngData,MATCH($B358,rngYear,0),MATCH(OFFSET(D358,-$A358,0),rngColumnNames,0)),"")</f>
        <v>74.071116</v>
      </c>
      <c r="E358" s="11">
        <f>IFERROR(INDEX(rngData,MATCH($B358,rngYear,0),MATCH(OFFSET(E358,-$A358,0),rngColumnNames,0)),"")</f>
        <v>67.305834</v>
      </c>
      <c r="F358" s="11">
        <f>IFERROR(INDEX(rngData,MATCH($B358,rngYear,0),MATCH(OFFSET(F358,-$A358,0),rngColumnNames,0)),"")</f>
        <v>80.574695</v>
      </c>
      <c r="G358" s="11">
        <f t="shared" si="20"/>
        <v>13.268861000000001</v>
      </c>
    </row>
    <row r="359">
      <c r="A359" s="9">
        <f t="shared" si="21"/>
        <v>33</v>
      </c>
      <c r="B359" s="10">
        <f>IF(INDEX(rngYear,A359+1)&lt;&gt;0,INDEX(rngYear,A359+1),"")</f>
        <v>2012</v>
      </c>
      <c r="C359" s="11">
        <f>IFERROR(INDEX(rngData,MATCH($B359,rngYear,0),MATCH(OFFSET(C359,-$A359,0),rngColumnNames,0)),"")</f>
        <v>65.273024</v>
      </c>
      <c r="D359" s="11">
        <f>IFERROR(INDEX(rngData,MATCH($B359,rngYear,0),MATCH(OFFSET(D359,-$A359,0),rngColumnNames,0)),"")</f>
        <v>71.068644</v>
      </c>
      <c r="E359" s="11">
        <f>IFERROR(INDEX(rngData,MATCH($B359,rngYear,0),MATCH(OFFSET(E359,-$A359,0),rngColumnNames,0)),"")</f>
        <v>64.33144</v>
      </c>
      <c r="F359" s="11">
        <f>IFERROR(INDEX(rngData,MATCH($B359,rngYear,0),MATCH(OFFSET(F359,-$A359,0),rngColumnNames,0)),"")</f>
        <v>77.913688</v>
      </c>
      <c r="G359" s="11">
        <f ref="G359:G386" t="shared" si="22">IFERROR(F359-E359,"")</f>
        <v>13.582247999999993</v>
      </c>
    </row>
    <row r="360" hidden="1">
      <c r="A360" s="9">
        <f ref="A360:A386" t="shared" si="23">A359+1</f>
        <v>34</v>
      </c>
      <c r="B360" s="10">
        <f>IF(INDEX(rngYear,A360+1)&lt;&gt;0,INDEX(rngYear,A360+1),"")</f>
        <v>2013</v>
      </c>
      <c r="C360" s="11">
        <f>IFERROR(INDEX(rngData,MATCH($B360,rngYear,0),MATCH(OFFSET(C360,-$A360,0),rngColumnNames,0)),"")</f>
        <v>71.341506</v>
      </c>
      <c r="D360" s="11">
        <f>IFERROR(INDEX(rngData,MATCH($B360,rngYear,0),MATCH(OFFSET(D360,-$A360,0),rngColumnNames,0)),"")</f>
        <v>66.321374</v>
      </c>
      <c r="E360" s="11">
        <f>IFERROR(INDEX(rngData,MATCH($B360,rngYear,0),MATCH(OFFSET(E360,-$A360,0),rngColumnNames,0)),"")</f>
        <v>60.385285</v>
      </c>
      <c r="F360" s="11">
        <f>IFERROR(INDEX(rngData,MATCH($B360,rngYear,0),MATCH(OFFSET(F360,-$A360,0),rngColumnNames,0)),"")</f>
        <v>71.980108</v>
      </c>
      <c r="G360" s="11">
        <f t="shared" si="22"/>
        <v>11.594822999999998</v>
      </c>
    </row>
    <row r="361" hidden="1">
      <c r="A361" s="9">
        <f t="shared" si="23"/>
        <v>35</v>
      </c>
      <c r="B361" s="10">
        <f>IF(INDEX(rngYear,A361+1)&lt;&gt;0,INDEX(rngYear,A361+1),"")</f>
        <v>2014</v>
      </c>
      <c r="C361" s="11">
        <f>IFERROR(INDEX(rngData,MATCH($B361,rngYear,0),MATCH(OFFSET(C361,-$A361,0),rngColumnNames,0)),"")</f>
        <v>8.489877</v>
      </c>
      <c r="D361" s="11">
        <f>IFERROR(INDEX(rngData,MATCH($B361,rngYear,0),MATCH(OFFSET(D361,-$A361,0),rngColumnNames,0)),"")</f>
        <v>61.516068</v>
      </c>
      <c r="E361" s="11">
        <f>IFERROR(INDEX(rngData,MATCH($B361,rngYear,0),MATCH(OFFSET(E361,-$A361,0),rngColumnNames,0)),"")</f>
        <v>56.546476</v>
      </c>
      <c r="F361" s="11">
        <f>IFERROR(INDEX(rngData,MATCH($B361,rngYear,0),MATCH(OFFSET(F361,-$A361,0),rngColumnNames,0)),"")</f>
        <v>66.356637</v>
      </c>
      <c r="G361" s="11">
        <f t="shared" si="22"/>
        <v>9.8101610000000079</v>
      </c>
    </row>
    <row r="362" hidden="1">
      <c r="A362" s="9">
        <f t="shared" si="23"/>
        <v>36</v>
      </c>
      <c r="B362" s="10">
        <f>IF(INDEX(rngYear,A362+1)&lt;&gt;0,INDEX(rngYear,A362+1),"")</f>
        <v>2015</v>
      </c>
      <c r="C362" s="11">
        <f>IFERROR(INDEX(rngData,MATCH($B362,rngYear,0),MATCH(OFFSET(C362,-$A362,0),rngColumnNames,0)),"")</f>
        <v>41.743559</v>
      </c>
      <c r="D362" s="11">
        <f>IFERROR(INDEX(rngData,MATCH($B362,rngYear,0),MATCH(OFFSET(D362,-$A362,0),rngColumnNames,0)),"")</f>
        <v>57.304497</v>
      </c>
      <c r="E362" s="11">
        <f>IFERROR(INDEX(rngData,MATCH($B362,rngYear,0),MATCH(OFFSET(E362,-$A362,0),rngColumnNames,0)),"")</f>
        <v>52.595422</v>
      </c>
      <c r="F362" s="11">
        <f>IFERROR(INDEX(rngData,MATCH($B362,rngYear,0),MATCH(OFFSET(F362,-$A362,0),rngColumnNames,0)),"")</f>
        <v>61.424552</v>
      </c>
      <c r="G362" s="11">
        <f t="shared" si="22"/>
        <v>8.82913</v>
      </c>
    </row>
    <row r="363" hidden="1">
      <c r="A363" s="9">
        <f t="shared" si="23"/>
        <v>37</v>
      </c>
      <c r="B363" s="10">
        <f>IF(INDEX(rngYear,A363+1)&lt;&gt;0,INDEX(rngYear,A363+1),"")</f>
        <v>2016</v>
      </c>
      <c r="C363" s="11">
        <f>IFERROR(INDEX(rngData,MATCH($B363,rngYear,0),MATCH(OFFSET(C363,-$A363,0),rngColumnNames,0)),"")</f>
        <v>46.677789</v>
      </c>
      <c r="D363" s="11">
        <f>IFERROR(INDEX(rngData,MATCH($B363,rngYear,0),MATCH(OFFSET(D363,-$A363,0),rngColumnNames,0)),"")</f>
        <v>53.57632</v>
      </c>
      <c r="E363" s="11">
        <f>IFERROR(INDEX(rngData,MATCH($B363,rngYear,0),MATCH(OFFSET(E363,-$A363,0),rngColumnNames,0)),"")</f>
        <v>48.621896</v>
      </c>
      <c r="F363" s="11">
        <f>IFERROR(INDEX(rngData,MATCH($B363,rngYear,0),MATCH(OFFSET(F363,-$A363,0),rngColumnNames,0)),"")</f>
        <v>57.598237</v>
      </c>
      <c r="G363" s="11">
        <f t="shared" si="22"/>
        <v>8.9763409999999979</v>
      </c>
    </row>
    <row r="364" hidden="1">
      <c r="A364" s="9">
        <f t="shared" si="23"/>
        <v>38</v>
      </c>
      <c r="B364" s="10">
        <f>IF(INDEX(rngYear,A364+1)&lt;&gt;0,INDEX(rngYear,A364+1),"")</f>
        <v>2017</v>
      </c>
      <c r="C364" s="11">
        <f>IFERROR(INDEX(rngData,MATCH($B364,rngYear,0),MATCH(OFFSET(C364,-$A364,0),rngColumnNames,0)),"")</f>
        <v>60</v>
      </c>
      <c r="D364" s="11">
        <f>IFERROR(INDEX(rngData,MATCH($B364,rngYear,0),MATCH(OFFSET(D364,-$A364,0),rngColumnNames,0)),"")</f>
        <v>50.110926</v>
      </c>
      <c r="E364" s="11">
        <f>IFERROR(INDEX(rngData,MATCH($B364,rngYear,0),MATCH(OFFSET(E364,-$A364,0),rngColumnNames,0)),"")</f>
        <v>44.698336</v>
      </c>
      <c r="F364" s="11">
        <f>IFERROR(INDEX(rngData,MATCH($B364,rngYear,0),MATCH(OFFSET(F364,-$A364,0),rngColumnNames,0)),"")</f>
        <v>54.528795</v>
      </c>
      <c r="G364" s="11">
        <f t="shared" si="22"/>
        <v>9.8304590000000047</v>
      </c>
    </row>
    <row r="365" hidden="1">
      <c r="A365" s="9">
        <f t="shared" si="23"/>
        <v>39</v>
      </c>
      <c r="B365" s="10">
        <f>IF(INDEX(rngYear,A365+1)&lt;&gt;0,INDEX(rngYear,A365+1),"")</f>
        <v>2018</v>
      </c>
      <c r="C365" s="11">
        <f>IFERROR(INDEX(rngData,MATCH($B365,rngYear,0),MATCH(OFFSET(C365,-$A365,0),rngColumnNames,0)),"")</f>
        <v>35</v>
      </c>
      <c r="D365" s="11">
        <f>IFERROR(INDEX(rngData,MATCH($B365,rngYear,0),MATCH(OFFSET(D365,-$A365,0),rngColumnNames,0)),"")</f>
        <v>46.736255</v>
      </c>
      <c r="E365" s="11">
        <f>IFERROR(INDEX(rngData,MATCH($B365,rngYear,0),MATCH(OFFSET(E365,-$A365,0),rngColumnNames,0)),"")</f>
        <v>41.109311</v>
      </c>
      <c r="F365" s="11">
        <f>IFERROR(INDEX(rngData,MATCH($B365,rngYear,0),MATCH(OFFSET(F365,-$A365,0),rngColumnNames,0)),"")</f>
        <v>51.551925</v>
      </c>
      <c r="G365" s="11">
        <f t="shared" si="22"/>
        <v>10.442613999999999</v>
      </c>
    </row>
    <row r="366" hidden="1">
      <c r="A366" s="9">
        <f t="shared" si="23"/>
        <v>40</v>
      </c>
      <c r="B366" s="10">
        <f>IF(INDEX(rngYear,A366+1)&lt;&gt;0,INDEX(rngYear,A366+1),"")</f>
        <v>2019</v>
      </c>
      <c r="C366" s="11">
        <f>IFERROR(INDEX(rngData,MATCH($B366,rngYear,0),MATCH(OFFSET(C366,-$A366,0),rngColumnNames,0)),"")</f>
        <v>60</v>
      </c>
      <c r="D366" s="11">
        <f>IFERROR(INDEX(rngData,MATCH($B366,rngYear,0),MATCH(OFFSET(D366,-$A366,0),rngColumnNames,0)),"")</f>
        <v>43.336329</v>
      </c>
      <c r="E366" s="11">
        <f>IFERROR(INDEX(rngData,MATCH($B366,rngYear,0),MATCH(OFFSET(E366,-$A366,0),rngColumnNames,0)),"")</f>
        <v>37.302937</v>
      </c>
      <c r="F366" s="11">
        <f>IFERROR(INDEX(rngData,MATCH($B366,rngYear,0),MATCH(OFFSET(F366,-$A366,0),rngColumnNames,0)),"")</f>
        <v>48.008521</v>
      </c>
      <c r="G366" s="11">
        <f t="shared" si="22"/>
        <v>10.705584000000002</v>
      </c>
    </row>
    <row r="367" hidden="1">
      <c r="A367" s="9">
        <f t="shared" si="23"/>
        <v>41</v>
      </c>
      <c r="B367" s="10">
        <f>IF(INDEX(rngYear,A367+1)&lt;&gt;0,INDEX(rngYear,A367+1),"")</f>
        <v>2020</v>
      </c>
      <c r="C367" s="11">
        <f>IFERROR(INDEX(rngData,MATCH($B367,rngYear,0),MATCH(OFFSET(C367,-$A367,0),rngColumnNames,0)),"")</f>
        <v>47</v>
      </c>
      <c r="D367" s="11">
        <f>IFERROR(INDEX(rngData,MATCH($B367,rngYear,0),MATCH(OFFSET(D367,-$A367,0),rngColumnNames,0)),"")</f>
        <v>42.28322</v>
      </c>
      <c r="E367" s="11">
        <f>IFERROR(INDEX(rngData,MATCH($B367,rngYear,0),MATCH(OFFSET(E367,-$A367,0),rngColumnNames,0)),"")</f>
        <v>36.857904</v>
      </c>
      <c r="F367" s="11">
        <f>IFERROR(INDEX(rngData,MATCH($B367,rngYear,0),MATCH(OFFSET(F367,-$A367,0),rngColumnNames,0)),"")</f>
        <v>46.573255</v>
      </c>
      <c r="G367" s="11">
        <f t="shared" si="22"/>
        <v>9.7153510000000054</v>
      </c>
    </row>
    <row r="368" hidden="1">
      <c r="A368" s="9">
        <f t="shared" si="23"/>
        <v>42</v>
      </c>
      <c r="B368" s="10">
        <f>IF(INDEX(rngYear,A368+1)&lt;&gt;0,INDEX(rngYear,A368+1),"")</f>
        <v>2021</v>
      </c>
      <c r="C368" s="11">
        <f>IFERROR(INDEX(rngData,MATCH($B368,rngYear,0),MATCH(OFFSET(C368,-$A368,0),rngColumnNames,0)),"")</f>
        <v>60</v>
      </c>
      <c r="D368" s="11">
        <f>IFERROR(INDEX(rngData,MATCH($B368,rngYear,0),MATCH(OFFSET(D368,-$A368,0),rngColumnNames,0)),"")</f>
        <v>48.573587</v>
      </c>
      <c r="E368" s="11">
        <f>IFERROR(INDEX(rngData,MATCH($B368,rngYear,0),MATCH(OFFSET(E368,-$A368,0),rngColumnNames,0)),"")</f>
        <v>41.301992</v>
      </c>
      <c r="F368" s="11">
        <f>IFERROR(INDEX(rngData,MATCH($B368,rngYear,0),MATCH(OFFSET(F368,-$A368,0),rngColumnNames,0)),"")</f>
        <v>55.164784</v>
      </c>
      <c r="G368" s="11">
        <f t="shared" si="22"/>
        <v>13.862791999999999</v>
      </c>
    </row>
    <row r="369" hidden="1">
      <c r="A369" s="9">
        <f t="shared" si="23"/>
        <v>43</v>
      </c>
      <c r="B369" s="10">
        <f>IF(INDEX(rngYear,A369+1)&lt;&gt;0,INDEX(rngYear,A369+1),"")</f>
        <v>2022</v>
      </c>
      <c r="C369" s="11">
        <f>IFERROR(INDEX(rngData,MATCH($B369,rngYear,0),MATCH(OFFSET(C369,-$A369,0),rngColumnNames,0)),"")</f>
        <v>50</v>
      </c>
      <c r="D369" s="11">
        <f>IFERROR(INDEX(rngData,MATCH($B369,rngYear,0),MATCH(OFFSET(D369,-$A369,0),rngColumnNames,0)),"")</f>
        <v>49.424593</v>
      </c>
      <c r="E369" s="11">
        <f>IFERROR(INDEX(rngData,MATCH($B369,rngYear,0),MATCH(OFFSET(E369,-$A369,0),rngColumnNames,0)),"")</f>
        <v>38.817065</v>
      </c>
      <c r="F369" s="11">
        <f>IFERROR(INDEX(rngData,MATCH($B369,rngYear,0),MATCH(OFFSET(F369,-$A369,0),rngColumnNames,0)),"")</f>
        <v>58.691094</v>
      </c>
      <c r="G369" s="11">
        <f t="shared" si="22"/>
        <v>19.874029</v>
      </c>
    </row>
    <row r="370" hidden="1">
      <c r="A370" s="9">
        <f t="shared" si="23"/>
        <v>44</v>
      </c>
      <c r="B370" s="10">
        <f>IF(INDEX(rngYear,A370+1)&lt;&gt;0,INDEX(rngYear,A370+1),"")</f>
      </c>
      <c r="C370" s="11">
        <f>IFERROR(INDEX(rngData,MATCH($B370,rngYear,0),MATCH(OFFSET(C370,-$A370,0),rngColumnNames,0)),"")</f>
      </c>
      <c r="D370" s="11">
        <f>IFERROR(INDEX(rngData,MATCH($B370,rngYear,0),MATCH(OFFSET(D370,-$A370,0),rngColumnNames,0)),"")</f>
      </c>
      <c r="E370" s="11">
        <f>IFERROR(INDEX(rngData,MATCH($B370,rngYear,0),MATCH(OFFSET(E370,-$A370,0),rngColumnNames,0)),"")</f>
      </c>
      <c r="F370" s="11">
        <f>IFERROR(INDEX(rngData,MATCH($B370,rngYear,0),MATCH(OFFSET(F370,-$A370,0),rngColumnNames,0)),"")</f>
      </c>
      <c r="G370" s="11">
        <f t="shared" si="22"/>
      </c>
    </row>
    <row r="371" hidden="1">
      <c r="A371" s="9">
        <f t="shared" si="23"/>
        <v>45</v>
      </c>
      <c r="B371" s="10">
        <f>IF(INDEX(rngYear,A371+1)&lt;&gt;0,INDEX(rngYear,A371+1),"")</f>
      </c>
      <c r="C371" s="11">
        <f>IFERROR(INDEX(rngData,MATCH($B371,rngYear,0),MATCH(OFFSET(C371,-$A371,0),rngColumnNames,0)),"")</f>
      </c>
      <c r="D371" s="11">
        <f>IFERROR(INDEX(rngData,MATCH($B371,rngYear,0),MATCH(OFFSET(D371,-$A371,0),rngColumnNames,0)),"")</f>
      </c>
      <c r="E371" s="11">
        <f>IFERROR(INDEX(rngData,MATCH($B371,rngYear,0),MATCH(OFFSET(E371,-$A371,0),rngColumnNames,0)),"")</f>
      </c>
      <c r="F371" s="11">
        <f>IFERROR(INDEX(rngData,MATCH($B371,rngYear,0),MATCH(OFFSET(F371,-$A371,0),rngColumnNames,0)),"")</f>
      </c>
      <c r="G371" s="11">
        <f t="shared" si="22"/>
      </c>
    </row>
    <row r="372" hidden="1">
      <c r="A372" s="9">
        <f t="shared" si="23"/>
        <v>46</v>
      </c>
      <c r="B372" s="10">
        <f>IF(INDEX(rngYear,A372+1)&lt;&gt;0,INDEX(rngYear,A372+1),"")</f>
      </c>
      <c r="C372" s="11">
        <f>IFERROR(INDEX(rngData,MATCH($B372,rngYear,0),MATCH(OFFSET(C372,-$A372,0),rngColumnNames,0)),"")</f>
      </c>
      <c r="D372" s="11">
        <f>IFERROR(INDEX(rngData,MATCH($B372,rngYear,0),MATCH(OFFSET(D372,-$A372,0),rngColumnNames,0)),"")</f>
      </c>
      <c r="E372" s="11">
        <f>IFERROR(INDEX(rngData,MATCH($B372,rngYear,0),MATCH(OFFSET(E372,-$A372,0),rngColumnNames,0)),"")</f>
      </c>
      <c r="F372" s="11">
        <f>IFERROR(INDEX(rngData,MATCH($B372,rngYear,0),MATCH(OFFSET(F372,-$A372,0),rngColumnNames,0)),"")</f>
      </c>
      <c r="G372" s="11">
        <f t="shared" si="22"/>
      </c>
    </row>
    <row r="373" hidden="1">
      <c r="A373" s="9">
        <f t="shared" si="23"/>
        <v>47</v>
      </c>
      <c r="B373" s="10">
        <f>IF(INDEX(rngYear,A373+1)&lt;&gt;0,INDEX(rngYear,A373+1),"")</f>
      </c>
      <c r="C373" s="11">
        <f>IFERROR(INDEX(rngData,MATCH($B373,rngYear,0),MATCH(OFFSET(C373,-$A373,0),rngColumnNames,0)),"")</f>
      </c>
      <c r="D373" s="11">
        <f>IFERROR(INDEX(rngData,MATCH($B373,rngYear,0),MATCH(OFFSET(D373,-$A373,0),rngColumnNames,0)),"")</f>
      </c>
      <c r="E373" s="11">
        <f>IFERROR(INDEX(rngData,MATCH($B373,rngYear,0),MATCH(OFFSET(E373,-$A373,0),rngColumnNames,0)),"")</f>
      </c>
      <c r="F373" s="11">
        <f>IFERROR(INDEX(rngData,MATCH($B373,rngYear,0),MATCH(OFFSET(F373,-$A373,0),rngColumnNames,0)),"")</f>
      </c>
      <c r="G373" s="11">
        <f t="shared" si="22"/>
      </c>
    </row>
    <row r="374" hidden="1">
      <c r="A374" s="9">
        <f t="shared" si="23"/>
        <v>48</v>
      </c>
      <c r="B374" s="10">
        <f>IF(INDEX(rngYear,A374+1)&lt;&gt;0,INDEX(rngYear,A374+1),"")</f>
      </c>
      <c r="C374" s="11">
        <f>IFERROR(INDEX(rngData,MATCH($B374,rngYear,0),MATCH(OFFSET(C374,-$A374,0),rngColumnNames,0)),"")</f>
      </c>
      <c r="D374" s="11">
        <f>IFERROR(INDEX(rngData,MATCH($B374,rngYear,0),MATCH(OFFSET(D374,-$A374,0),rngColumnNames,0)),"")</f>
      </c>
      <c r="E374" s="11">
        <f>IFERROR(INDEX(rngData,MATCH($B374,rngYear,0),MATCH(OFFSET(E374,-$A374,0),rngColumnNames,0)),"")</f>
      </c>
      <c r="F374" s="11">
        <f>IFERROR(INDEX(rngData,MATCH($B374,rngYear,0),MATCH(OFFSET(F374,-$A374,0),rngColumnNames,0)),"")</f>
      </c>
      <c r="G374" s="11">
        <f t="shared" si="22"/>
      </c>
    </row>
    <row r="375" hidden="1">
      <c r="A375" s="9">
        <f t="shared" si="23"/>
        <v>49</v>
      </c>
      <c r="B375" s="10">
        <f>IF(INDEX(rngYear,A375+1)&lt;&gt;0,INDEX(rngYear,A375+1),"")</f>
      </c>
      <c r="C375" s="11">
        <f>IFERROR(INDEX(rngData,MATCH($B375,rngYear,0),MATCH(OFFSET(C375,-$A375,0),rngColumnNames,0)),"")</f>
      </c>
      <c r="D375" s="11">
        <f>IFERROR(INDEX(rngData,MATCH($B375,rngYear,0),MATCH(OFFSET(D375,-$A375,0),rngColumnNames,0)),"")</f>
      </c>
      <c r="E375" s="11">
        <f>IFERROR(INDEX(rngData,MATCH($B375,rngYear,0),MATCH(OFFSET(E375,-$A375,0),rngColumnNames,0)),"")</f>
      </c>
      <c r="F375" s="11">
        <f>IFERROR(INDEX(rngData,MATCH($B375,rngYear,0),MATCH(OFFSET(F375,-$A375,0),rngColumnNames,0)),"")</f>
      </c>
      <c r="G375" s="11">
        <f t="shared" si="22"/>
      </c>
    </row>
    <row r="376" hidden="1">
      <c r="A376" s="9">
        <f t="shared" si="23"/>
        <v>50</v>
      </c>
      <c r="B376" s="10">
        <f>IF(INDEX(rngYear,A376+1)&lt;&gt;0,INDEX(rngYear,A376+1),"")</f>
      </c>
      <c r="C376" s="11">
        <f>IFERROR(INDEX(rngData,MATCH($B376,rngYear,0),MATCH(OFFSET(C376,-$A376,0),rngColumnNames,0)),"")</f>
      </c>
      <c r="D376" s="11">
        <f>IFERROR(INDEX(rngData,MATCH($B376,rngYear,0),MATCH(OFFSET(D376,-$A376,0),rngColumnNames,0)),"")</f>
      </c>
      <c r="E376" s="11">
        <f>IFERROR(INDEX(rngData,MATCH($B376,rngYear,0),MATCH(OFFSET(E376,-$A376,0),rngColumnNames,0)),"")</f>
      </c>
      <c r="F376" s="11">
        <f>IFERROR(INDEX(rngData,MATCH($B376,rngYear,0),MATCH(OFFSET(F376,-$A376,0),rngColumnNames,0)),"")</f>
      </c>
      <c r="G376" s="11">
        <f t="shared" si="22"/>
      </c>
    </row>
    <row r="377" hidden="1">
      <c r="A377" s="9">
        <f t="shared" si="23"/>
        <v>51</v>
      </c>
      <c r="B377" s="10">
        <f>IF(INDEX(rngYear,A377+1)&lt;&gt;0,INDEX(rngYear,A377+1),"")</f>
      </c>
      <c r="C377" s="11">
        <f>IFERROR(INDEX(rngData,MATCH($B377,rngYear,0),MATCH(OFFSET(C377,-$A377,0),rngColumnNames,0)),"")</f>
      </c>
      <c r="D377" s="11">
        <f>IFERROR(INDEX(rngData,MATCH($B377,rngYear,0),MATCH(OFFSET(D377,-$A377,0),rngColumnNames,0)),"")</f>
      </c>
      <c r="E377" s="11">
        <f>IFERROR(INDEX(rngData,MATCH($B377,rngYear,0),MATCH(OFFSET(E377,-$A377,0),rngColumnNames,0)),"")</f>
      </c>
      <c r="F377" s="11">
        <f>IFERROR(INDEX(rngData,MATCH($B377,rngYear,0),MATCH(OFFSET(F377,-$A377,0),rngColumnNames,0)),"")</f>
      </c>
      <c r="G377" s="11">
        <f t="shared" si="22"/>
      </c>
    </row>
    <row r="378" hidden="1">
      <c r="A378" s="9">
        <f t="shared" si="23"/>
        <v>52</v>
      </c>
      <c r="B378" s="10">
        <f>IF(INDEX(rngYear,A378+1)&lt;&gt;0,INDEX(rngYear,A378+1),"")</f>
      </c>
      <c r="C378" s="11">
        <f>IFERROR(INDEX(rngData,MATCH($B378,rngYear,0),MATCH(OFFSET(C378,-$A378,0),rngColumnNames,0)),"")</f>
      </c>
      <c r="D378" s="11">
        <f>IFERROR(INDEX(rngData,MATCH($B378,rngYear,0),MATCH(OFFSET(D378,-$A378,0),rngColumnNames,0)),"")</f>
      </c>
      <c r="E378" s="11">
        <f>IFERROR(INDEX(rngData,MATCH($B378,rngYear,0),MATCH(OFFSET(E378,-$A378,0),rngColumnNames,0)),"")</f>
      </c>
      <c r="F378" s="11">
        <f>IFERROR(INDEX(rngData,MATCH($B378,rngYear,0),MATCH(OFFSET(F378,-$A378,0),rngColumnNames,0)),"")</f>
      </c>
      <c r="G378" s="11">
        <f t="shared" si="22"/>
      </c>
    </row>
    <row r="379" hidden="1">
      <c r="A379" s="9">
        <f t="shared" si="23"/>
        <v>53</v>
      </c>
      <c r="B379" s="10">
        <f>IF(INDEX(rngYear,A379+1)&lt;&gt;0,INDEX(rngYear,A379+1),"")</f>
      </c>
      <c r="C379" s="11">
        <f>IFERROR(INDEX(rngData,MATCH($B379,rngYear,0),MATCH(OFFSET(C379,-$A379,0),rngColumnNames,0)),"")</f>
      </c>
      <c r="D379" s="11">
        <f>IFERROR(INDEX(rngData,MATCH($B379,rngYear,0),MATCH(OFFSET(D379,-$A379,0),rngColumnNames,0)),"")</f>
      </c>
      <c r="E379" s="11">
        <f>IFERROR(INDEX(rngData,MATCH($B379,rngYear,0),MATCH(OFFSET(E379,-$A379,0),rngColumnNames,0)),"")</f>
      </c>
      <c r="F379" s="11">
        <f>IFERROR(INDEX(rngData,MATCH($B379,rngYear,0),MATCH(OFFSET(F379,-$A379,0),rngColumnNames,0)),"")</f>
      </c>
      <c r="G379" s="11">
        <f t="shared" si="22"/>
      </c>
    </row>
    <row r="380" hidden="1">
      <c r="A380" s="9">
        <f t="shared" si="23"/>
        <v>54</v>
      </c>
      <c r="B380" s="10">
        <f>IF(INDEX(rngYear,A380+1)&lt;&gt;0,INDEX(rngYear,A380+1),"")</f>
      </c>
      <c r="C380" s="11">
        <f>IFERROR(INDEX(rngData,MATCH($B380,rngYear,0),MATCH(OFFSET(C380,-$A380,0),rngColumnNames,0)),"")</f>
      </c>
      <c r="D380" s="11">
        <f>IFERROR(INDEX(rngData,MATCH($B380,rngYear,0),MATCH(OFFSET(D380,-$A380,0),rngColumnNames,0)),"")</f>
      </c>
      <c r="E380" s="11">
        <f>IFERROR(INDEX(rngData,MATCH($B380,rngYear,0),MATCH(OFFSET(E380,-$A380,0),rngColumnNames,0)),"")</f>
      </c>
      <c r="F380" s="11">
        <f>IFERROR(INDEX(rngData,MATCH($B380,rngYear,0),MATCH(OFFSET(F380,-$A380,0),rngColumnNames,0)),"")</f>
      </c>
      <c r="G380" s="11">
        <f t="shared" si="22"/>
      </c>
    </row>
    <row r="381" hidden="1">
      <c r="A381" s="9">
        <f t="shared" si="23"/>
        <v>55</v>
      </c>
      <c r="B381" s="10">
        <f>IF(INDEX(rngYear,A381+1)&lt;&gt;0,INDEX(rngYear,A381+1),"")</f>
      </c>
      <c r="C381" s="11">
        <f>IFERROR(INDEX(rngData,MATCH($B381,rngYear,0),MATCH(OFFSET(C381,-$A381,0),rngColumnNames,0)),"")</f>
      </c>
      <c r="D381" s="11">
        <f>IFERROR(INDEX(rngData,MATCH($B381,rngYear,0),MATCH(OFFSET(D381,-$A381,0),rngColumnNames,0)),"")</f>
      </c>
      <c r="E381" s="11">
        <f>IFERROR(INDEX(rngData,MATCH($B381,rngYear,0),MATCH(OFFSET(E381,-$A381,0),rngColumnNames,0)),"")</f>
      </c>
      <c r="F381" s="11">
        <f>IFERROR(INDEX(rngData,MATCH($B381,rngYear,0),MATCH(OFFSET(F381,-$A381,0),rngColumnNames,0)),"")</f>
      </c>
      <c r="G381" s="11">
        <f t="shared" si="22"/>
      </c>
    </row>
    <row r="382" hidden="1">
      <c r="A382" s="9">
        <f t="shared" si="23"/>
        <v>56</v>
      </c>
      <c r="B382" s="10">
        <f>IF(INDEX(rngYear,A382+1)&lt;&gt;0,INDEX(rngYear,A382+1),"")</f>
      </c>
      <c r="C382" s="11">
        <f>IFERROR(INDEX(rngData,MATCH($B382,rngYear,0),MATCH(OFFSET(C382,-$A382,0),rngColumnNames,0)),"")</f>
      </c>
      <c r="D382" s="11">
        <f>IFERROR(INDEX(rngData,MATCH($B382,rngYear,0),MATCH(OFFSET(D382,-$A382,0),rngColumnNames,0)),"")</f>
      </c>
      <c r="E382" s="11">
        <f>IFERROR(INDEX(rngData,MATCH($B382,rngYear,0),MATCH(OFFSET(E382,-$A382,0),rngColumnNames,0)),"")</f>
      </c>
      <c r="F382" s="11">
        <f>IFERROR(INDEX(rngData,MATCH($B382,rngYear,0),MATCH(OFFSET(F382,-$A382,0),rngColumnNames,0)),"")</f>
      </c>
      <c r="G382" s="11">
        <f t="shared" si="22"/>
      </c>
    </row>
    <row r="383" hidden="1">
      <c r="A383" s="9">
        <f t="shared" si="23"/>
        <v>57</v>
      </c>
      <c r="B383" s="10">
        <f>IF(INDEX(rngYear,A383+1)&lt;&gt;0,INDEX(rngYear,A383+1),"")</f>
      </c>
      <c r="C383" s="11">
        <f>IFERROR(INDEX(rngData,MATCH($B383,rngYear,0),MATCH(OFFSET(C383,-$A383,0),rngColumnNames,0)),"")</f>
      </c>
      <c r="D383" s="11">
        <f>IFERROR(INDEX(rngData,MATCH($B383,rngYear,0),MATCH(OFFSET(D383,-$A383,0),rngColumnNames,0)),"")</f>
      </c>
      <c r="E383" s="11">
        <f>IFERROR(INDEX(rngData,MATCH($B383,rngYear,0),MATCH(OFFSET(E383,-$A383,0),rngColumnNames,0)),"")</f>
      </c>
      <c r="F383" s="11">
        <f>IFERROR(INDEX(rngData,MATCH($B383,rngYear,0),MATCH(OFFSET(F383,-$A383,0),rngColumnNames,0)),"")</f>
      </c>
      <c r="G383" s="11">
        <f t="shared" si="22"/>
      </c>
    </row>
    <row r="384" hidden="1">
      <c r="A384" s="9">
        <f t="shared" si="23"/>
        <v>58</v>
      </c>
      <c r="B384" s="10">
        <f>IF(INDEX(rngYear,A384+1)&lt;&gt;0,INDEX(rngYear,A384+1),"")</f>
      </c>
      <c r="C384" s="11">
        <f>IFERROR(INDEX(rngData,MATCH($B384,rngYear,0),MATCH(OFFSET(C384,-$A384,0),rngColumnNames,0)),"")</f>
      </c>
      <c r="D384" s="11">
        <f>IFERROR(INDEX(rngData,MATCH($B384,rngYear,0),MATCH(OFFSET(D384,-$A384,0),rngColumnNames,0)),"")</f>
      </c>
      <c r="E384" s="11">
        <f>IFERROR(INDEX(rngData,MATCH($B384,rngYear,0),MATCH(OFFSET(E384,-$A384,0),rngColumnNames,0)),"")</f>
      </c>
      <c r="F384" s="11">
        <f>IFERROR(INDEX(rngData,MATCH($B384,rngYear,0),MATCH(OFFSET(F384,-$A384,0),rngColumnNames,0)),"")</f>
      </c>
      <c r="G384" s="11">
        <f t="shared" si="22"/>
      </c>
    </row>
    <row r="385" hidden="1">
      <c r="A385" s="9">
        <f t="shared" si="23"/>
        <v>59</v>
      </c>
      <c r="B385" s="10">
        <f>IF(INDEX(rngYear,A385+1)&lt;&gt;0,INDEX(rngYear,A385+1),"")</f>
      </c>
      <c r="C385" s="11">
        <f>IFERROR(INDEX(rngData,MATCH($B385,rngYear,0),MATCH(OFFSET(C385,-$A385,0),rngColumnNames,0)),"")</f>
      </c>
      <c r="D385" s="11">
        <f>IFERROR(INDEX(rngData,MATCH($B385,rngYear,0),MATCH(OFFSET(D385,-$A385,0),rngColumnNames,0)),"")</f>
      </c>
      <c r="E385" s="11">
        <f>IFERROR(INDEX(rngData,MATCH($B385,rngYear,0),MATCH(OFFSET(E385,-$A385,0),rngColumnNames,0)),"")</f>
      </c>
      <c r="F385" s="11">
        <f>IFERROR(INDEX(rngData,MATCH($B385,rngYear,0),MATCH(OFFSET(F385,-$A385,0),rngColumnNames,0)),"")</f>
      </c>
      <c r="G385" s="11">
        <f t="shared" si="22"/>
      </c>
    </row>
    <row r="386" hidden="1">
      <c r="A386" s="9">
        <f t="shared" si="23"/>
        <v>60</v>
      </c>
      <c r="B386" s="10">
        <f>IF(INDEX(rngYear,A386+1)&lt;&gt;0,INDEX(rngYear,A386+1),"")</f>
      </c>
      <c r="C386" s="11">
        <f>IFERROR(INDEX(rngData,MATCH($B386,rngYear,0),MATCH(OFFSET(C386,-$A386,0),rngColumnNames,0)),"")</f>
      </c>
      <c r="D386" s="11">
        <f>IFERROR(INDEX(rngData,MATCH($B386,rngYear,0),MATCH(OFFSET(D386,-$A386,0),rngColumnNames,0)),"")</f>
      </c>
      <c r="E386" s="11">
        <f>IFERROR(INDEX(rngData,MATCH($B386,rngYear,0),MATCH(OFFSET(E386,-$A386,0),rngColumnNames,0)),"")</f>
      </c>
      <c r="F386" s="11">
        <f>IFERROR(INDEX(rngData,MATCH($B386,rngYear,0),MATCH(OFFSET(F386,-$A386,0),rngColumnNames,0)),"")</f>
      </c>
      <c r="G386" s="11">
        <f t="shared" si="22"/>
      </c>
    </row>
    <row r="388" ht="19.5" customHeight="1">
      <c r="A388" s="16" t="s">
        <v>35</v>
      </c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</row>
    <row r="389" ht="15" customHeight="1">
      <c r="B389" s="4"/>
      <c r="C389" s="5" t="s">
        <v>1</v>
      </c>
      <c r="D389" s="5" t="s">
        <v>2</v>
      </c>
      <c r="E389" s="17" t="s">
        <v>3</v>
      </c>
      <c r="F389" s="18"/>
      <c r="G389" s="19"/>
    </row>
    <row r="390" ht="22.5" customHeight="1">
      <c r="A390" s="6" t="s">
        <v>4</v>
      </c>
      <c r="B390" s="7" t="s">
        <v>5</v>
      </c>
      <c r="C390" s="7" t="s">
        <v>36</v>
      </c>
      <c r="D390" s="7" t="s">
        <v>37</v>
      </c>
      <c r="E390" s="7" t="s">
        <v>38</v>
      </c>
      <c r="F390" s="7" t="s">
        <v>39</v>
      </c>
      <c r="G390" s="8" t="s">
        <v>3</v>
      </c>
    </row>
    <row r="391">
      <c r="A391" s="9">
        <v>1</v>
      </c>
      <c r="B391" s="10">
        <f>IF(INDEX(rngYear,A391+1)&lt;&gt;0,INDEX(rngYear,A391+1),"")</f>
        <v>1980</v>
      </c>
      <c r="C391" s="11">
        <f>IFERROR(INDEX(rngData,MATCH($B391,rngYear,0),MATCH(OFFSET(C391,-$A391,0),rngColumnNames,0)),"")</f>
        <v>0</v>
      </c>
      <c r="D391" s="11">
        <f>IFERROR(INDEX(rngData,MATCH($B391,rngYear,0),MATCH(OFFSET(D391,-$A391,0),rngColumnNames,0)),"")</f>
        <v>0.512307</v>
      </c>
      <c r="E391" s="11">
        <f>IFERROR(INDEX(rngData,MATCH($B391,rngYear,0),MATCH(OFFSET(E391,-$A391,0),rngColumnNames,0)),"")</f>
        <v>0.499147</v>
      </c>
      <c r="F391" s="11">
        <f>IFERROR(INDEX(rngData,MATCH($B391,rngYear,0),MATCH(OFFSET(F391,-$A391,0),rngColumnNames,0)),"")</f>
        <v>0.526884</v>
      </c>
      <c r="G391" s="11">
        <f ref="G391:G422" t="shared" si="24">IFERROR(F391-E391,"")</f>
        <v>0.027737000000000012</v>
      </c>
    </row>
    <row r="392">
      <c r="A392" s="9">
        <f ref="A392:A423" t="shared" si="25">A391+1</f>
        <v>2</v>
      </c>
      <c r="B392" s="10">
        <f>IF(INDEX(rngYear,A392+1)&lt;&gt;0,INDEX(rngYear,A392+1),"")</f>
        <v>1981</v>
      </c>
      <c r="C392" s="11">
        <f>IFERROR(INDEX(rngData,MATCH($B392,rngYear,0),MATCH(OFFSET(C392,-$A392,0),rngColumnNames,0)),"")</f>
        <v>1</v>
      </c>
      <c r="D392" s="11">
        <f>IFERROR(INDEX(rngData,MATCH($B392,rngYear,0),MATCH(OFFSET(D392,-$A392,0),rngColumnNames,0)),"")</f>
        <v>6.51325</v>
      </c>
      <c r="E392" s="11">
        <f>IFERROR(INDEX(rngData,MATCH($B392,rngYear,0),MATCH(OFFSET(E392,-$A392,0),rngColumnNames,0)),"")</f>
        <v>6.348785</v>
      </c>
      <c r="F392" s="11">
        <f>IFERROR(INDEX(rngData,MATCH($B392,rngYear,0),MATCH(OFFSET(F392,-$A392,0),rngColumnNames,0)),"")</f>
        <v>6.694362</v>
      </c>
      <c r="G392" s="11">
        <f t="shared" si="24"/>
        <v>0.34557699999999958</v>
      </c>
    </row>
    <row r="393">
      <c r="A393" s="9">
        <f t="shared" si="25"/>
        <v>3</v>
      </c>
      <c r="B393" s="10">
        <f>IF(INDEX(rngYear,A393+1)&lt;&gt;0,INDEX(rngYear,A393+1),"")</f>
        <v>1982</v>
      </c>
      <c r="C393" s="11">
        <f>IFERROR(INDEX(rngData,MATCH($B393,rngYear,0),MATCH(OFFSET(C393,-$A393,0),rngColumnNames,0)),"")</f>
        <v>1</v>
      </c>
      <c r="D393" s="11">
        <f>IFERROR(INDEX(rngData,MATCH($B393,rngYear,0),MATCH(OFFSET(D393,-$A393,0),rngColumnNames,0)),"")</f>
        <v>23.360227</v>
      </c>
      <c r="E393" s="11">
        <f>IFERROR(INDEX(rngData,MATCH($B393,rngYear,0),MATCH(OFFSET(E393,-$A393,0),rngColumnNames,0)),"")</f>
        <v>22.782589</v>
      </c>
      <c r="F393" s="11">
        <f>IFERROR(INDEX(rngData,MATCH($B393,rngYear,0),MATCH(OFFSET(F393,-$A393,0),rngColumnNames,0)),"")</f>
        <v>23.986687</v>
      </c>
      <c r="G393" s="11">
        <f t="shared" si="24"/>
        <v>1.2040979999999983</v>
      </c>
    </row>
    <row r="394">
      <c r="A394" s="9">
        <f t="shared" si="25"/>
        <v>4</v>
      </c>
      <c r="B394" s="10">
        <f>IF(INDEX(rngYear,A394+1)&lt;&gt;0,INDEX(rngYear,A394+1),"")</f>
        <v>1983</v>
      </c>
      <c r="C394" s="11">
        <f>IFERROR(INDEX(rngData,MATCH($B394,rngYear,0),MATCH(OFFSET(C394,-$A394,0),rngColumnNames,0)),"")</f>
        <v>5.746486</v>
      </c>
      <c r="D394" s="11">
        <f>IFERROR(INDEX(rngData,MATCH($B394,rngYear,0),MATCH(OFFSET(D394,-$A394,0),rngColumnNames,0)),"")</f>
        <v>53.22372</v>
      </c>
      <c r="E394" s="11">
        <f>IFERROR(INDEX(rngData,MATCH($B394,rngYear,0),MATCH(OFFSET(E394,-$A394,0),rngColumnNames,0)),"")</f>
        <v>51.93808</v>
      </c>
      <c r="F394" s="11">
        <f>IFERROR(INDEX(rngData,MATCH($B394,rngYear,0),MATCH(OFFSET(F394,-$A394,0),rngColumnNames,0)),"")</f>
        <v>54.610253</v>
      </c>
      <c r="G394" s="11">
        <f t="shared" si="24"/>
        <v>2.6721730000000008</v>
      </c>
    </row>
    <row r="395">
      <c r="A395" s="9">
        <f t="shared" si="25"/>
        <v>5</v>
      </c>
      <c r="B395" s="10">
        <f>IF(INDEX(rngYear,A395+1)&lt;&gt;0,INDEX(rngYear,A395+1),"")</f>
        <v>1984</v>
      </c>
      <c r="C395" s="11">
        <f>IFERROR(INDEX(rngData,MATCH($B395,rngYear,0),MATCH(OFFSET(C395,-$A395,0),rngColumnNames,0)),"")</f>
        <v>37.78481</v>
      </c>
      <c r="D395" s="11">
        <f>IFERROR(INDEX(rngData,MATCH($B395,rngYear,0),MATCH(OFFSET(D395,-$A395,0),rngColumnNames,0)),"")</f>
        <v>101.480387</v>
      </c>
      <c r="E395" s="11">
        <f>IFERROR(INDEX(rngData,MATCH($B395,rngYear,0),MATCH(OFFSET(E395,-$A395,0),rngColumnNames,0)),"")</f>
        <v>98.859555</v>
      </c>
      <c r="F395" s="11">
        <f>IFERROR(INDEX(rngData,MATCH($B395,rngYear,0),MATCH(OFFSET(F395,-$A395,0),rngColumnNames,0)),"")</f>
        <v>103.990524</v>
      </c>
      <c r="G395" s="11">
        <f t="shared" si="24"/>
        <v>5.1309689999999932</v>
      </c>
    </row>
    <row r="396">
      <c r="A396" s="9">
        <f t="shared" si="25"/>
        <v>6</v>
      </c>
      <c r="B396" s="10">
        <f>IF(INDEX(rngYear,A396+1)&lt;&gt;0,INDEX(rngYear,A396+1),"")</f>
        <v>1985</v>
      </c>
      <c r="C396" s="11">
        <f>IFERROR(INDEX(rngData,MATCH($B396,rngYear,0),MATCH(OFFSET(C396,-$A396,0),rngColumnNames,0)),"")</f>
        <v>116.682733</v>
      </c>
      <c r="D396" s="11">
        <f>IFERROR(INDEX(rngData,MATCH($B396,rngYear,0),MATCH(OFFSET(D396,-$A396,0),rngColumnNames,0)),"")</f>
        <v>158.779683</v>
      </c>
      <c r="E396" s="11">
        <f>IFERROR(INDEX(rngData,MATCH($B396,rngYear,0),MATCH(OFFSET(E396,-$A396,0),rngColumnNames,0)),"")</f>
        <v>155.029756</v>
      </c>
      <c r="F396" s="11">
        <f>IFERROR(INDEX(rngData,MATCH($B396,rngYear,0),MATCH(OFFSET(F396,-$A396,0),rngColumnNames,0)),"")</f>
        <v>162.693042</v>
      </c>
      <c r="G396" s="11">
        <f t="shared" si="24"/>
        <v>7.6632859999999994</v>
      </c>
    </row>
    <row r="397">
      <c r="A397" s="9">
        <f t="shared" si="25"/>
        <v>7</v>
      </c>
      <c r="B397" s="10">
        <f>IF(INDEX(rngYear,A397+1)&lt;&gt;0,INDEX(rngYear,A397+1),"")</f>
        <v>1986</v>
      </c>
      <c r="C397" s="11">
        <f>IFERROR(INDEX(rngData,MATCH($B397,rngYear,0),MATCH(OFFSET(C397,-$A397,0),rngColumnNames,0)),"")</f>
        <v>208.646628</v>
      </c>
      <c r="D397" s="11">
        <f>IFERROR(INDEX(rngData,MATCH($B397,rngYear,0),MATCH(OFFSET(D397,-$A397,0),rngColumnNames,0)),"")</f>
        <v>226.75407</v>
      </c>
      <c r="E397" s="11">
        <f>IFERROR(INDEX(rngData,MATCH($B397,rngYear,0),MATCH(OFFSET(E397,-$A397,0),rngColumnNames,0)),"")</f>
        <v>221.637318</v>
      </c>
      <c r="F397" s="11">
        <f>IFERROR(INDEX(rngData,MATCH($B397,rngYear,0),MATCH(OFFSET(F397,-$A397,0),rngColumnNames,0)),"")</f>
        <v>232.355186</v>
      </c>
      <c r="G397" s="11">
        <f t="shared" si="24"/>
        <v>10.71786800000001</v>
      </c>
    </row>
    <row r="398">
      <c r="A398" s="9">
        <f t="shared" si="25"/>
        <v>8</v>
      </c>
      <c r="B398" s="10">
        <f>IF(INDEX(rngYear,A398+1)&lt;&gt;0,INDEX(rngYear,A398+1),"")</f>
        <v>1987</v>
      </c>
      <c r="C398" s="11">
        <f>IFERROR(INDEX(rngData,MATCH($B398,rngYear,0),MATCH(OFFSET(C398,-$A398,0),rngColumnNames,0)),"")</f>
        <v>267.757525</v>
      </c>
      <c r="D398" s="11">
        <f>IFERROR(INDEX(rngData,MATCH($B398,rngYear,0),MATCH(OFFSET(D398,-$A398,0),rngColumnNames,0)),"")</f>
        <v>302.263889</v>
      </c>
      <c r="E398" s="11">
        <f>IFERROR(INDEX(rngData,MATCH($B398,rngYear,0),MATCH(OFFSET(E398,-$A398,0),rngColumnNames,0)),"")</f>
        <v>295.596751</v>
      </c>
      <c r="F398" s="11">
        <f>IFERROR(INDEX(rngData,MATCH($B398,rngYear,0),MATCH(OFFSET(F398,-$A398,0),rngColumnNames,0)),"")</f>
        <v>309.739691</v>
      </c>
      <c r="G398" s="11">
        <f t="shared" si="24"/>
        <v>14.14294000000001</v>
      </c>
    </row>
    <row r="399">
      <c r="A399" s="9">
        <f t="shared" si="25"/>
        <v>9</v>
      </c>
      <c r="B399" s="10">
        <f>IF(INDEX(rngYear,A399+1)&lt;&gt;0,INDEX(rngYear,A399+1),"")</f>
        <v>1988</v>
      </c>
      <c r="C399" s="11">
        <f>IFERROR(INDEX(rngData,MATCH($B399,rngYear,0),MATCH(OFFSET(C399,-$A399,0),rngColumnNames,0)),"")</f>
        <v>434.136277</v>
      </c>
      <c r="D399" s="11">
        <f>IFERROR(INDEX(rngData,MATCH($B399,rngYear,0),MATCH(OFFSET(D399,-$A399,0),rngColumnNames,0)),"")</f>
        <v>381.668383</v>
      </c>
      <c r="E399" s="11">
        <f>IFERROR(INDEX(rngData,MATCH($B399,rngYear,0),MATCH(OFFSET(E399,-$A399,0),rngColumnNames,0)),"")</f>
        <v>373.621299</v>
      </c>
      <c r="F399" s="11">
        <f>IFERROR(INDEX(rngData,MATCH($B399,rngYear,0),MATCH(OFFSET(F399,-$A399,0),rngColumnNames,0)),"")</f>
        <v>391.101075</v>
      </c>
      <c r="G399" s="11">
        <f t="shared" si="24"/>
        <v>17.479775999999958</v>
      </c>
    </row>
    <row r="400">
      <c r="A400" s="9">
        <f t="shared" si="25"/>
        <v>10</v>
      </c>
      <c r="B400" s="10">
        <f>IF(INDEX(rngYear,A400+1)&lt;&gt;0,INDEX(rngYear,A400+1),"")</f>
        <v>1989</v>
      </c>
      <c r="C400" s="11">
        <f>IFERROR(INDEX(rngData,MATCH($B400,rngYear,0),MATCH(OFFSET(C400,-$A400,0),rngColumnNames,0)),"")</f>
        <v>529.897831</v>
      </c>
      <c r="D400" s="11">
        <f>IFERROR(INDEX(rngData,MATCH($B400,rngYear,0),MATCH(OFFSET(D400,-$A400,0),rngColumnNames,0)),"")</f>
        <v>461.321755</v>
      </c>
      <c r="E400" s="11">
        <f>IFERROR(INDEX(rngData,MATCH($B400,rngYear,0),MATCH(OFFSET(E400,-$A400,0),rngColumnNames,0)),"")</f>
        <v>452.246014</v>
      </c>
      <c r="F400" s="11">
        <f>IFERROR(INDEX(rngData,MATCH($B400,rngYear,0),MATCH(OFFSET(F400,-$A400,0),rngColumnNames,0)),"")</f>
        <v>472.688769</v>
      </c>
      <c r="G400" s="11">
        <f t="shared" si="24"/>
        <v>20.442754999999977</v>
      </c>
    </row>
    <row r="401">
      <c r="A401" s="9">
        <f t="shared" si="25"/>
        <v>11</v>
      </c>
      <c r="B401" s="10">
        <f>IF(INDEX(rngYear,A401+1)&lt;&gt;0,INDEX(rngYear,A401+1),"")</f>
        <v>1990</v>
      </c>
      <c r="C401" s="11">
        <f>IFERROR(INDEX(rngData,MATCH($B401,rngYear,0),MATCH(OFFSET(C401,-$A401,0),rngColumnNames,0)),"")</f>
        <v>588.775706</v>
      </c>
      <c r="D401" s="11">
        <f>IFERROR(INDEX(rngData,MATCH($B401,rngYear,0),MATCH(OFFSET(D401,-$A401,0),rngColumnNames,0)),"")</f>
        <v>537.790421</v>
      </c>
      <c r="E401" s="11">
        <f>IFERROR(INDEX(rngData,MATCH($B401,rngYear,0),MATCH(OFFSET(E401,-$A401,0),rngColumnNames,0)),"")</f>
        <v>527.860811</v>
      </c>
      <c r="F401" s="11">
        <f>IFERROR(INDEX(rngData,MATCH($B401,rngYear,0),MATCH(OFFSET(F401,-$A401,0),rngColumnNames,0)),"")</f>
        <v>550.484344</v>
      </c>
      <c r="G401" s="11">
        <f t="shared" si="24"/>
        <v>22.623532999999952</v>
      </c>
    </row>
    <row r="402">
      <c r="A402" s="9">
        <f t="shared" si="25"/>
        <v>12</v>
      </c>
      <c r="B402" s="10">
        <f>IF(INDEX(rngYear,A402+1)&lt;&gt;0,INDEX(rngYear,A402+1),"")</f>
        <v>1991</v>
      </c>
      <c r="C402" s="11">
        <f>IFERROR(INDEX(rngData,MATCH($B402,rngYear,0),MATCH(OFFSET(C402,-$A402,0),rngColumnNames,0)),"")</f>
        <v>660.468976</v>
      </c>
      <c r="D402" s="11">
        <f>IFERROR(INDEX(rngData,MATCH($B402,rngYear,0),MATCH(OFFSET(D402,-$A402,0),rngColumnNames,0)),"")</f>
        <v>608.067638</v>
      </c>
      <c r="E402" s="11">
        <f>IFERROR(INDEX(rngData,MATCH($B402,rngYear,0),MATCH(OFFSET(E402,-$A402,0),rngColumnNames,0)),"")</f>
        <v>596.21778</v>
      </c>
      <c r="F402" s="11">
        <f>IFERROR(INDEX(rngData,MATCH($B402,rngYear,0),MATCH(OFFSET(F402,-$A402,0),rngColumnNames,0)),"")</f>
        <v>620.582427</v>
      </c>
      <c r="G402" s="11">
        <f t="shared" si="24"/>
        <v>24.364647000000105</v>
      </c>
    </row>
    <row r="403">
      <c r="A403" s="9">
        <f t="shared" si="25"/>
        <v>13</v>
      </c>
      <c r="B403" s="10">
        <f>IF(INDEX(rngYear,A403+1)&lt;&gt;0,INDEX(rngYear,A403+1),"")</f>
        <v>1992</v>
      </c>
      <c r="C403" s="11">
        <f>IFERROR(INDEX(rngData,MATCH($B403,rngYear,0),MATCH(OFFSET(C403,-$A403,0),rngColumnNames,0)),"")</f>
        <v>726.162409</v>
      </c>
      <c r="D403" s="11">
        <f>IFERROR(INDEX(rngData,MATCH($B403,rngYear,0),MATCH(OFFSET(D403,-$A403,0),rngColumnNames,0)),"")</f>
        <v>669.746842</v>
      </c>
      <c r="E403" s="11">
        <f>IFERROR(INDEX(rngData,MATCH($B403,rngYear,0),MATCH(OFFSET(E403,-$A403,0),rngColumnNames,0)),"")</f>
        <v>655.794591</v>
      </c>
      <c r="F403" s="11">
        <f>IFERROR(INDEX(rngData,MATCH($B403,rngYear,0),MATCH(OFFSET(F403,-$A403,0),rngColumnNames,0)),"")</f>
        <v>681.345356</v>
      </c>
      <c r="G403" s="11">
        <f t="shared" si="24"/>
        <v>25.550765000000069</v>
      </c>
    </row>
    <row r="404">
      <c r="A404" s="9">
        <f t="shared" si="25"/>
        <v>14</v>
      </c>
      <c r="B404" s="10">
        <f>IF(INDEX(rngYear,A404+1)&lt;&gt;0,INDEX(rngYear,A404+1),"")</f>
        <v>1993</v>
      </c>
      <c r="C404" s="11">
        <f>IFERROR(INDEX(rngData,MATCH($B404,rngYear,0),MATCH(OFFSET(C404,-$A404,0),rngColumnNames,0)),"")</f>
        <v>786.779047</v>
      </c>
      <c r="D404" s="11">
        <f>IFERROR(INDEX(rngData,MATCH($B404,rngYear,0),MATCH(OFFSET(D404,-$A404,0),rngColumnNames,0)),"")</f>
        <v>721.273303</v>
      </c>
      <c r="E404" s="11">
        <f>IFERROR(INDEX(rngData,MATCH($B404,rngYear,0),MATCH(OFFSET(E404,-$A404,0),rngColumnNames,0)),"")</f>
        <v>706.250287</v>
      </c>
      <c r="F404" s="11">
        <f>IFERROR(INDEX(rngData,MATCH($B404,rngYear,0),MATCH(OFFSET(F404,-$A404,0),rngColumnNames,0)),"")</f>
        <v>733.55569</v>
      </c>
      <c r="G404" s="11">
        <f t="shared" si="24"/>
        <v>27.305403000000069</v>
      </c>
    </row>
    <row r="405">
      <c r="A405" s="9">
        <f t="shared" si="25"/>
        <v>15</v>
      </c>
      <c r="B405" s="10">
        <f>IF(INDEX(rngYear,A405+1)&lt;&gt;0,INDEX(rngYear,A405+1),"")</f>
        <v>1994</v>
      </c>
      <c r="C405" s="11">
        <f>IFERROR(INDEX(rngData,MATCH($B405,rngYear,0),MATCH(OFFSET(C405,-$A405,0),rngColumnNames,0)),"")</f>
        <v>797.068171</v>
      </c>
      <c r="D405" s="11">
        <f>IFERROR(INDEX(rngData,MATCH($B405,rngYear,0),MATCH(OFFSET(D405,-$A405,0),rngColumnNames,0)),"")</f>
        <v>761.72124</v>
      </c>
      <c r="E405" s="11">
        <f>IFERROR(INDEX(rngData,MATCH($B405,rngYear,0),MATCH(OFFSET(E405,-$A405,0),rngColumnNames,0)),"")</f>
        <v>746.355472</v>
      </c>
      <c r="F405" s="11">
        <f>IFERROR(INDEX(rngData,MATCH($B405,rngYear,0),MATCH(OFFSET(F405,-$A405,0),rngColumnNames,0)),"")</f>
        <v>774.654681</v>
      </c>
      <c r="G405" s="11">
        <f t="shared" si="24"/>
        <v>28.299209000000019</v>
      </c>
    </row>
    <row r="406">
      <c r="A406" s="9">
        <f t="shared" si="25"/>
        <v>16</v>
      </c>
      <c r="B406" s="10">
        <f>IF(INDEX(rngYear,A406+1)&lt;&gt;0,INDEX(rngYear,A406+1),"")</f>
        <v>1995</v>
      </c>
      <c r="C406" s="11">
        <f>IFERROR(INDEX(rngData,MATCH($B406,rngYear,0),MATCH(OFFSET(C406,-$A406,0),rngColumnNames,0)),"")</f>
        <v>765.113237</v>
      </c>
      <c r="D406" s="11">
        <f>IFERROR(INDEX(rngData,MATCH($B406,rngYear,0),MATCH(OFFSET(D406,-$A406,0),rngColumnNames,0)),"")</f>
        <v>790.872702</v>
      </c>
      <c r="E406" s="11">
        <f>IFERROR(INDEX(rngData,MATCH($B406,rngYear,0),MATCH(OFFSET(E406,-$A406,0),rngColumnNames,0)),"")</f>
        <v>775.560544</v>
      </c>
      <c r="F406" s="11">
        <f>IFERROR(INDEX(rngData,MATCH($B406,rngYear,0),MATCH(OFFSET(F406,-$A406,0),rngColumnNames,0)),"")</f>
        <v>804.247203</v>
      </c>
      <c r="G406" s="11">
        <f t="shared" si="24"/>
        <v>28.686658999999963</v>
      </c>
    </row>
    <row r="407">
      <c r="A407" s="9">
        <f t="shared" si="25"/>
        <v>17</v>
      </c>
      <c r="B407" s="10">
        <f>IF(INDEX(rngYear,A407+1)&lt;&gt;0,INDEX(rngYear,A407+1),"")</f>
        <v>1996</v>
      </c>
      <c r="C407" s="11">
        <f>IFERROR(INDEX(rngData,MATCH($B407,rngYear,0),MATCH(OFFSET(C407,-$A407,0),rngColumnNames,0)),"")</f>
        <v>652.706102</v>
      </c>
      <c r="D407" s="11">
        <f>IFERROR(INDEX(rngData,MATCH($B407,rngYear,0),MATCH(OFFSET(D407,-$A407,0),rngColumnNames,0)),"")</f>
        <v>809.484204</v>
      </c>
      <c r="E407" s="11">
        <f>IFERROR(INDEX(rngData,MATCH($B407,rngYear,0),MATCH(OFFSET(E407,-$A407,0),rngColumnNames,0)),"")</f>
        <v>795.206709</v>
      </c>
      <c r="F407" s="11">
        <f>IFERROR(INDEX(rngData,MATCH($B407,rngYear,0),MATCH(OFFSET(F407,-$A407,0),rngColumnNames,0)),"")</f>
        <v>823.073553</v>
      </c>
      <c r="G407" s="11">
        <f t="shared" si="24"/>
        <v>27.8668439999999</v>
      </c>
    </row>
    <row r="408">
      <c r="A408" s="9">
        <f t="shared" si="25"/>
        <v>18</v>
      </c>
      <c r="B408" s="10">
        <f>IF(INDEX(rngYear,A408+1)&lt;&gt;0,INDEX(rngYear,A408+1),"")</f>
        <v>1997</v>
      </c>
      <c r="C408" s="11">
        <f>IFERROR(INDEX(rngData,MATCH($B408,rngYear,0),MATCH(OFFSET(C408,-$A408,0),rngColumnNames,0)),"")</f>
        <v>342.898884</v>
      </c>
      <c r="D408" s="11">
        <f>IFERROR(INDEX(rngData,MATCH($B408,rngYear,0),MATCH(OFFSET(D408,-$A408,0),rngColumnNames,0)),"")</f>
        <v>818.843351</v>
      </c>
      <c r="E408" s="11">
        <f>IFERROR(INDEX(rngData,MATCH($B408,rngYear,0),MATCH(OFFSET(E408,-$A408,0),rngColumnNames,0)),"")</f>
        <v>805.378561</v>
      </c>
      <c r="F408" s="11">
        <f>IFERROR(INDEX(rngData,MATCH($B408,rngYear,0),MATCH(OFFSET(F408,-$A408,0),rngColumnNames,0)),"")</f>
        <v>833.039618</v>
      </c>
      <c r="G408" s="11">
        <f t="shared" si="24"/>
        <v>27.661057000000028</v>
      </c>
    </row>
    <row r="409">
      <c r="A409" s="9">
        <f t="shared" si="25"/>
        <v>19</v>
      </c>
      <c r="B409" s="10">
        <f>IF(INDEX(rngYear,A409+1)&lt;&gt;0,INDEX(rngYear,A409+1),"")</f>
        <v>1998</v>
      </c>
      <c r="C409" s="11">
        <f>IFERROR(INDEX(rngData,MATCH($B409,rngYear,0),MATCH(OFFSET(C409,-$A409,0),rngColumnNames,0)),"")</f>
        <v>287.072841</v>
      </c>
      <c r="D409" s="11">
        <f>IFERROR(INDEX(rngData,MATCH($B409,rngYear,0),MATCH(OFFSET(D409,-$A409,0),rngColumnNames,0)),"")</f>
        <v>820.591996</v>
      </c>
      <c r="E409" s="11">
        <f>IFERROR(INDEX(rngData,MATCH($B409,rngYear,0),MATCH(OFFSET(E409,-$A409,0),rngColumnNames,0)),"")</f>
        <v>806.646347</v>
      </c>
      <c r="F409" s="11">
        <f>IFERROR(INDEX(rngData,MATCH($B409,rngYear,0),MATCH(OFFSET(F409,-$A409,0),rngColumnNames,0)),"")</f>
        <v>836.158799</v>
      </c>
      <c r="G409" s="11">
        <f t="shared" si="24"/>
        <v>29.512452000000053</v>
      </c>
    </row>
    <row r="410">
      <c r="A410" s="9">
        <f t="shared" si="25"/>
        <v>20</v>
      </c>
      <c r="B410" s="10">
        <f>IF(INDEX(rngYear,A410+1)&lt;&gt;0,INDEX(rngYear,A410+1),"")</f>
        <v>1999</v>
      </c>
      <c r="C410" s="11">
        <f>IFERROR(INDEX(rngData,MATCH($B410,rngYear,0),MATCH(OFFSET(C410,-$A410,0),rngColumnNames,0)),"")</f>
        <v>214.910891</v>
      </c>
      <c r="D410" s="11">
        <f>IFERROR(INDEX(rngData,MATCH($B410,rngYear,0),MATCH(OFFSET(D410,-$A410,0),rngColumnNames,0)),"")</f>
        <v>816.566978</v>
      </c>
      <c r="E410" s="11">
        <f>IFERROR(INDEX(rngData,MATCH($B410,rngYear,0),MATCH(OFFSET(E410,-$A410,0),rngColumnNames,0)),"")</f>
        <v>803.247474</v>
      </c>
      <c r="F410" s="11">
        <f>IFERROR(INDEX(rngData,MATCH($B410,rngYear,0),MATCH(OFFSET(F410,-$A410,0),rngColumnNames,0)),"")</f>
        <v>832.888506</v>
      </c>
      <c r="G410" s="11">
        <f t="shared" si="24"/>
        <v>29.641031999999996</v>
      </c>
    </row>
    <row r="411">
      <c r="A411" s="9">
        <f t="shared" si="25"/>
        <v>21</v>
      </c>
      <c r="B411" s="10">
        <f>IF(INDEX(rngYear,A411+1)&lt;&gt;0,INDEX(rngYear,A411+1),"")</f>
        <v>2000</v>
      </c>
      <c r="C411" s="11">
        <f>IFERROR(INDEX(rngData,MATCH($B411,rngYear,0),MATCH(OFFSET(C411,-$A411,0),rngColumnNames,0)),"")</f>
        <v>230.904617</v>
      </c>
      <c r="D411" s="11">
        <f>IFERROR(INDEX(rngData,MATCH($B411,rngYear,0),MATCH(OFFSET(D411,-$A411,0),rngColumnNames,0)),"")</f>
        <v>808.661002</v>
      </c>
      <c r="E411" s="11">
        <f>IFERROR(INDEX(rngData,MATCH($B411,rngYear,0),MATCH(OFFSET(E411,-$A411,0),rngColumnNames,0)),"")</f>
        <v>794.302699</v>
      </c>
      <c r="F411" s="11">
        <f>IFERROR(INDEX(rngData,MATCH($B411,rngYear,0),MATCH(OFFSET(F411,-$A411,0),rngColumnNames,0)),"")</f>
        <v>825.617106</v>
      </c>
      <c r="G411" s="11">
        <f t="shared" si="24"/>
        <v>31.314407000000074</v>
      </c>
    </row>
    <row r="412">
      <c r="A412" s="9">
        <f t="shared" si="25"/>
        <v>22</v>
      </c>
      <c r="B412" s="10">
        <f>IF(INDEX(rngYear,A412+1)&lt;&gt;0,INDEX(rngYear,A412+1),"")</f>
        <v>2001</v>
      </c>
      <c r="C412" s="11">
        <f>IFERROR(INDEX(rngData,MATCH($B412,rngYear,0),MATCH(OFFSET(C412,-$A412,0),rngColumnNames,0)),"")</f>
        <v>193.11749</v>
      </c>
      <c r="D412" s="11">
        <f>IFERROR(INDEX(rngData,MATCH($B412,rngYear,0),MATCH(OFFSET(D412,-$A412,0),rngColumnNames,0)),"")</f>
        <v>798.706264</v>
      </c>
      <c r="E412" s="11">
        <f>IFERROR(INDEX(rngData,MATCH($B412,rngYear,0),MATCH(OFFSET(E412,-$A412,0),rngColumnNames,0)),"")</f>
        <v>783.061135</v>
      </c>
      <c r="F412" s="11">
        <f>IFERROR(INDEX(rngData,MATCH($B412,rngYear,0),MATCH(OFFSET(F412,-$A412,0),rngColumnNames,0)),"")</f>
        <v>815.943566</v>
      </c>
      <c r="G412" s="11">
        <f t="shared" si="24"/>
        <v>32.882431</v>
      </c>
    </row>
    <row r="413">
      <c r="A413" s="9">
        <f t="shared" si="25"/>
        <v>23</v>
      </c>
      <c r="B413" s="10">
        <f>IF(INDEX(rngYear,A413+1)&lt;&gt;0,INDEX(rngYear,A413+1),"")</f>
        <v>2002</v>
      </c>
      <c r="C413" s="11">
        <f>IFERROR(INDEX(rngData,MATCH($B413,rngYear,0),MATCH(OFFSET(C413,-$A413,0),rngColumnNames,0)),"")</f>
        <v>241.80301</v>
      </c>
      <c r="D413" s="11">
        <f>IFERROR(INDEX(rngData,MATCH($B413,rngYear,0),MATCH(OFFSET(D413,-$A413,0),rngColumnNames,0)),"")</f>
        <v>788.564172</v>
      </c>
      <c r="E413" s="11">
        <f>IFERROR(INDEX(rngData,MATCH($B413,rngYear,0),MATCH(OFFSET(E413,-$A413,0),rngColumnNames,0)),"")</f>
        <v>772.064568</v>
      </c>
      <c r="F413" s="11">
        <f>IFERROR(INDEX(rngData,MATCH($B413,rngYear,0),MATCH(OFFSET(F413,-$A413,0),rngColumnNames,0)),"")</f>
        <v>805.795065</v>
      </c>
      <c r="G413" s="11">
        <f t="shared" si="24"/>
        <v>33.730497000000014</v>
      </c>
    </row>
    <row r="414">
      <c r="A414" s="9">
        <f t="shared" si="25"/>
        <v>24</v>
      </c>
      <c r="B414" s="10">
        <f>IF(INDEX(rngYear,A414+1)&lt;&gt;0,INDEX(rngYear,A414+1),"")</f>
        <v>2003</v>
      </c>
      <c r="C414" s="11">
        <f>IFERROR(INDEX(rngData,MATCH($B414,rngYear,0),MATCH(OFFSET(C414,-$A414,0),rngColumnNames,0)),"")</f>
        <v>228.642565</v>
      </c>
      <c r="D414" s="11">
        <f>IFERROR(INDEX(rngData,MATCH($B414,rngYear,0),MATCH(OFFSET(D414,-$A414,0),rngColumnNames,0)),"")</f>
        <v>779.726997</v>
      </c>
      <c r="E414" s="11">
        <f>IFERROR(INDEX(rngData,MATCH($B414,rngYear,0),MATCH(OFFSET(E414,-$A414,0),rngColumnNames,0)),"")</f>
        <v>762.421381</v>
      </c>
      <c r="F414" s="11">
        <f>IFERROR(INDEX(rngData,MATCH($B414,rngYear,0),MATCH(OFFSET(F414,-$A414,0),rngColumnNames,0)),"")</f>
        <v>796.663598</v>
      </c>
      <c r="G414" s="11">
        <f t="shared" si="24"/>
        <v>34.242216999999982</v>
      </c>
    </row>
    <row r="415">
      <c r="A415" s="9">
        <f t="shared" si="25"/>
        <v>25</v>
      </c>
      <c r="B415" s="10">
        <f>IF(INDEX(rngYear,A415+1)&lt;&gt;0,INDEX(rngYear,A415+1),"")</f>
        <v>2004</v>
      </c>
      <c r="C415" s="11">
        <f>IFERROR(INDEX(rngData,MATCH($B415,rngYear,0),MATCH(OFFSET(C415,-$A415,0),rngColumnNames,0)),"")</f>
        <v>192.398404</v>
      </c>
      <c r="D415" s="11">
        <f>IFERROR(INDEX(rngData,MATCH($B415,rngYear,0),MATCH(OFFSET(D415,-$A415,0),rngColumnNames,0)),"")</f>
        <v>773.142984</v>
      </c>
      <c r="E415" s="11">
        <f>IFERROR(INDEX(rngData,MATCH($B415,rngYear,0),MATCH(OFFSET(E415,-$A415,0),rngColumnNames,0)),"")</f>
        <v>755.521882</v>
      </c>
      <c r="F415" s="11">
        <f>IFERROR(INDEX(rngData,MATCH($B415,rngYear,0),MATCH(OFFSET(F415,-$A415,0),rngColumnNames,0)),"")</f>
        <v>789.623433</v>
      </c>
      <c r="G415" s="11">
        <f t="shared" si="24"/>
        <v>34.101550999999972</v>
      </c>
    </row>
    <row r="416">
      <c r="A416" s="9">
        <f t="shared" si="25"/>
        <v>26</v>
      </c>
      <c r="B416" s="10">
        <f>IF(INDEX(rngYear,A416+1)&lt;&gt;0,INDEX(rngYear,A416+1),"")</f>
        <v>2005</v>
      </c>
      <c r="C416" s="11">
        <f>IFERROR(INDEX(rngData,MATCH($B416,rngYear,0),MATCH(OFFSET(C416,-$A416,0),rngColumnNames,0)),"")</f>
        <v>221.727459</v>
      </c>
      <c r="D416" s="11">
        <f>IFERROR(INDEX(rngData,MATCH($B416,rngYear,0),MATCH(OFFSET(D416,-$A416,0),rngColumnNames,0)),"")</f>
        <v>769.720876</v>
      </c>
      <c r="E416" s="11">
        <f>IFERROR(INDEX(rngData,MATCH($B416,rngYear,0),MATCH(OFFSET(E416,-$A416,0),rngColumnNames,0)),"")</f>
        <v>752.58419</v>
      </c>
      <c r="F416" s="11">
        <f>IFERROR(INDEX(rngData,MATCH($B416,rngYear,0),MATCH(OFFSET(F416,-$A416,0),rngColumnNames,0)),"")</f>
        <v>787.259857</v>
      </c>
      <c r="G416" s="11">
        <f t="shared" si="24"/>
        <v>34.675666999999976</v>
      </c>
    </row>
    <row r="417">
      <c r="A417" s="9">
        <f t="shared" si="25"/>
        <v>27</v>
      </c>
      <c r="B417" s="10">
        <f>IF(INDEX(rngYear,A417+1)&lt;&gt;0,INDEX(rngYear,A417+1),"")</f>
        <v>2006</v>
      </c>
      <c r="C417" s="11">
        <f>IFERROR(INDEX(rngData,MATCH($B417,rngYear,0),MATCH(OFFSET(C417,-$A417,0),rngColumnNames,0)),"")</f>
        <v>230.166155</v>
      </c>
      <c r="D417" s="11">
        <f>IFERROR(INDEX(rngData,MATCH($B417,rngYear,0),MATCH(OFFSET(D417,-$A417,0),rngColumnNames,0)),"")</f>
        <v>770.062288</v>
      </c>
      <c r="E417" s="11">
        <f>IFERROR(INDEX(rngData,MATCH($B417,rngYear,0),MATCH(OFFSET(E417,-$A417,0),rngColumnNames,0)),"")</f>
        <v>754.201492</v>
      </c>
      <c r="F417" s="11">
        <f>IFERROR(INDEX(rngData,MATCH($B417,rngYear,0),MATCH(OFFSET(F417,-$A417,0),rngColumnNames,0)),"")</f>
        <v>788.271785</v>
      </c>
      <c r="G417" s="11">
        <f t="shared" si="24"/>
        <v>34.070292999999992</v>
      </c>
    </row>
    <row r="418">
      <c r="A418" s="9">
        <f t="shared" si="25"/>
        <v>28</v>
      </c>
      <c r="B418" s="10">
        <f>IF(INDEX(rngYear,A418+1)&lt;&gt;0,INDEX(rngYear,A418+1),"")</f>
        <v>2007</v>
      </c>
      <c r="C418" s="11">
        <f>IFERROR(INDEX(rngData,MATCH($B418,rngYear,0),MATCH(OFFSET(C418,-$A418,0),rngColumnNames,0)),"")</f>
        <v>156.407248</v>
      </c>
      <c r="D418" s="11">
        <f>IFERROR(INDEX(rngData,MATCH($B418,rngYear,0),MATCH(OFFSET(D418,-$A418,0),rngColumnNames,0)),"")</f>
        <v>774.43802</v>
      </c>
      <c r="E418" s="11">
        <f>IFERROR(INDEX(rngData,MATCH($B418,rngYear,0),MATCH(OFFSET(E418,-$A418,0),rngColumnNames,0)),"")</f>
        <v>758.920308</v>
      </c>
      <c r="F418" s="11">
        <f>IFERROR(INDEX(rngData,MATCH($B418,rngYear,0),MATCH(OFFSET(F418,-$A418,0),rngColumnNames,0)),"")</f>
        <v>792.931757</v>
      </c>
      <c r="G418" s="11">
        <f t="shared" si="24"/>
        <v>34.011448999999971</v>
      </c>
    </row>
    <row r="419">
      <c r="A419" s="9">
        <f t="shared" si="25"/>
        <v>29</v>
      </c>
      <c r="B419" s="10">
        <f>IF(INDEX(rngYear,A419+1)&lt;&gt;0,INDEX(rngYear,A419+1),"")</f>
        <v>2008</v>
      </c>
      <c r="C419" s="11">
        <f>IFERROR(INDEX(rngData,MATCH($B419,rngYear,0),MATCH(OFFSET(C419,-$A419,0),rngColumnNames,0)),"")</f>
        <v>125.175881</v>
      </c>
      <c r="D419" s="11">
        <f>IFERROR(INDEX(rngData,MATCH($B419,rngYear,0),MATCH(OFFSET(D419,-$A419,0),rngColumnNames,0)),"")</f>
        <v>782.806059</v>
      </c>
      <c r="E419" s="11">
        <f>IFERROR(INDEX(rngData,MATCH($B419,rngYear,0),MATCH(OFFSET(E419,-$A419,0),rngColumnNames,0)),"")</f>
        <v>767.665623</v>
      </c>
      <c r="F419" s="11">
        <f>IFERROR(INDEX(rngData,MATCH($B419,rngYear,0),MATCH(OFFSET(F419,-$A419,0),rngColumnNames,0)),"")</f>
        <v>801.216801</v>
      </c>
      <c r="G419" s="11">
        <f t="shared" si="24"/>
        <v>33.55117800000005</v>
      </c>
    </row>
    <row r="420">
      <c r="A420" s="9">
        <f t="shared" si="25"/>
        <v>30</v>
      </c>
      <c r="B420" s="10">
        <f>IF(INDEX(rngYear,A420+1)&lt;&gt;0,INDEX(rngYear,A420+1),"")</f>
        <v>2009</v>
      </c>
      <c r="C420" s="11">
        <f>IFERROR(INDEX(rngData,MATCH($B420,rngYear,0),MATCH(OFFSET(C420,-$A420,0),rngColumnNames,0)),"")</f>
        <v>134.598203</v>
      </c>
      <c r="D420" s="11">
        <f>IFERROR(INDEX(rngData,MATCH($B420,rngYear,0),MATCH(OFFSET(D420,-$A420,0),rngColumnNames,0)),"")</f>
        <v>794.823396</v>
      </c>
      <c r="E420" s="11">
        <f>IFERROR(INDEX(rngData,MATCH($B420,rngYear,0),MATCH(OFFSET(E420,-$A420,0),rngColumnNames,0)),"")</f>
        <v>779.303508</v>
      </c>
      <c r="F420" s="11">
        <f>IFERROR(INDEX(rngData,MATCH($B420,rngYear,0),MATCH(OFFSET(F420,-$A420,0),rngColumnNames,0)),"")</f>
        <v>811.144374</v>
      </c>
      <c r="G420" s="11">
        <f t="shared" si="24"/>
        <v>31.840866000000005</v>
      </c>
    </row>
    <row r="421">
      <c r="A421" s="9">
        <f t="shared" si="25"/>
        <v>31</v>
      </c>
      <c r="B421" s="10">
        <f>IF(INDEX(rngYear,A421+1)&lt;&gt;0,INDEX(rngYear,A421+1),"")</f>
        <v>2010</v>
      </c>
      <c r="C421" s="11">
        <f>IFERROR(INDEX(rngData,MATCH($B421,rngYear,0),MATCH(OFFSET(C421,-$A421,0),rngColumnNames,0)),"")</f>
        <v>130.568637</v>
      </c>
      <c r="D421" s="11">
        <f>IFERROR(INDEX(rngData,MATCH($B421,rngYear,0),MATCH(OFFSET(D421,-$A421,0),rngColumnNames,0)),"")</f>
        <v>809.877115</v>
      </c>
      <c r="E421" s="11">
        <f>IFERROR(INDEX(rngData,MATCH($B421,rngYear,0),MATCH(OFFSET(E421,-$A421,0),rngColumnNames,0)),"")</f>
        <v>794.147636</v>
      </c>
      <c r="F421" s="11">
        <f>IFERROR(INDEX(rngData,MATCH($B421,rngYear,0),MATCH(OFFSET(F421,-$A421,0),rngColumnNames,0)),"")</f>
        <v>823.85334</v>
      </c>
      <c r="G421" s="11">
        <f t="shared" si="24"/>
        <v>29.705703999999969</v>
      </c>
    </row>
    <row r="422">
      <c r="A422" s="9">
        <f t="shared" si="25"/>
        <v>32</v>
      </c>
      <c r="B422" s="10">
        <f>IF(INDEX(rngYear,A422+1)&lt;&gt;0,INDEX(rngYear,A422+1),"")</f>
        <v>2011</v>
      </c>
      <c r="C422" s="11">
        <f>IFERROR(INDEX(rngData,MATCH($B422,rngYear,0),MATCH(OFFSET(C422,-$A422,0),rngColumnNames,0)),"")</f>
        <v>93.039718</v>
      </c>
      <c r="D422" s="11">
        <f>IFERROR(INDEX(rngData,MATCH($B422,rngYear,0),MATCH(OFFSET(D422,-$A422,0),rngColumnNames,0)),"")</f>
        <v>827.150843</v>
      </c>
      <c r="E422" s="11">
        <f>IFERROR(INDEX(rngData,MATCH($B422,rngYear,0),MATCH(OFFSET(E422,-$A422,0),rngColumnNames,0)),"")</f>
        <v>811.423476</v>
      </c>
      <c r="F422" s="11">
        <f>IFERROR(INDEX(rngData,MATCH($B422,rngYear,0),MATCH(OFFSET(F422,-$A422,0),rngColumnNames,0)),"")</f>
        <v>841.437671</v>
      </c>
      <c r="G422" s="11">
        <f t="shared" si="24"/>
        <v>30.014194999999972</v>
      </c>
    </row>
    <row r="423">
      <c r="A423" s="9">
        <f t="shared" si="25"/>
        <v>33</v>
      </c>
      <c r="B423" s="10">
        <f>IF(INDEX(rngYear,A423+1)&lt;&gt;0,INDEX(rngYear,A423+1),"")</f>
        <v>2012</v>
      </c>
      <c r="C423" s="11">
        <f>IFERROR(INDEX(rngData,MATCH($B423,rngYear,0),MATCH(OFFSET(C423,-$A423,0),rngColumnNames,0)),"")</f>
        <v>81.8503</v>
      </c>
      <c r="D423" s="11">
        <f>IFERROR(INDEX(rngData,MATCH($B423,rngYear,0),MATCH(OFFSET(D423,-$A423,0),rngColumnNames,0)),"")</f>
        <v>845.804575</v>
      </c>
      <c r="E423" s="11">
        <f>IFERROR(INDEX(rngData,MATCH($B423,rngYear,0),MATCH(OFFSET(E423,-$A423,0),rngColumnNames,0)),"")</f>
        <v>829.839609</v>
      </c>
      <c r="F423" s="11">
        <f>IFERROR(INDEX(rngData,MATCH($B423,rngYear,0),MATCH(OFFSET(F423,-$A423,0),rngColumnNames,0)),"")</f>
        <v>859.815567</v>
      </c>
      <c r="G423" s="11">
        <f ref="G423:G450" t="shared" si="26">IFERROR(F423-E423,"")</f>
        <v>29.975957999999991</v>
      </c>
    </row>
    <row r="424" hidden="1">
      <c r="A424" s="9">
        <f ref="A424:A450" t="shared" si="27">A423+1</f>
        <v>34</v>
      </c>
      <c r="B424" s="10">
        <f>IF(INDEX(rngYear,A424+1)&lt;&gt;0,INDEX(rngYear,A424+1),"")</f>
        <v>2013</v>
      </c>
      <c r="C424" s="11">
        <f>IFERROR(INDEX(rngData,MATCH($B424,rngYear,0),MATCH(OFFSET(C424,-$A424,0),rngColumnNames,0)),"")</f>
        <v>75.096323</v>
      </c>
      <c r="D424" s="11">
        <f>IFERROR(INDEX(rngData,MATCH($B424,rngYear,0),MATCH(OFFSET(D424,-$A424,0),rngColumnNames,0)),"")</f>
        <v>864.679683</v>
      </c>
      <c r="E424" s="11">
        <f>IFERROR(INDEX(rngData,MATCH($B424,rngYear,0),MATCH(OFFSET(E424,-$A424,0),rngColumnNames,0)),"")</f>
        <v>848.034613</v>
      </c>
      <c r="F424" s="11">
        <f>IFERROR(INDEX(rngData,MATCH($B424,rngYear,0),MATCH(OFFSET(F424,-$A424,0),rngColumnNames,0)),"")</f>
        <v>878.357444</v>
      </c>
      <c r="G424" s="11">
        <f t="shared" si="26"/>
        <v>30.322830999999951</v>
      </c>
    </row>
    <row r="425" hidden="1">
      <c r="A425" s="9">
        <f t="shared" si="27"/>
        <v>35</v>
      </c>
      <c r="B425" s="10">
        <f>IF(INDEX(rngYear,A425+1)&lt;&gt;0,INDEX(rngYear,A425+1),"")</f>
        <v>2014</v>
      </c>
      <c r="C425" s="11">
        <f>IFERROR(INDEX(rngData,MATCH($B425,rngYear,0),MATCH(OFFSET(C425,-$A425,0),rngColumnNames,0)),"")</f>
        <v>10.376517</v>
      </c>
      <c r="D425" s="11">
        <f>IFERROR(INDEX(rngData,MATCH($B425,rngYear,0),MATCH(OFFSET(D425,-$A425,0),rngColumnNames,0)),"")</f>
        <v>882.573488</v>
      </c>
      <c r="E425" s="11">
        <f>IFERROR(INDEX(rngData,MATCH($B425,rngYear,0),MATCH(OFFSET(E425,-$A425,0),rngColumnNames,0)),"")</f>
        <v>865.600036</v>
      </c>
      <c r="F425" s="11">
        <f>IFERROR(INDEX(rngData,MATCH($B425,rngYear,0),MATCH(OFFSET(F425,-$A425,0),rngColumnNames,0)),"")</f>
        <v>896.012146</v>
      </c>
      <c r="G425" s="11">
        <f t="shared" si="26"/>
        <v>30.412109999999984</v>
      </c>
    </row>
    <row r="426" hidden="1">
      <c r="A426" s="9">
        <f t="shared" si="27"/>
        <v>36</v>
      </c>
      <c r="B426" s="10">
        <f>IF(INDEX(rngYear,A426+1)&lt;&gt;0,INDEX(rngYear,A426+1),"")</f>
        <v>2015</v>
      </c>
      <c r="C426" s="11">
        <f>IFERROR(INDEX(rngData,MATCH($B426,rngYear,0),MATCH(OFFSET(C426,-$A426,0),rngColumnNames,0)),"")</f>
        <v>41.743559</v>
      </c>
      <c r="D426" s="11">
        <f>IFERROR(INDEX(rngData,MATCH($B426,rngYear,0),MATCH(OFFSET(D426,-$A426,0),rngColumnNames,0)),"")</f>
        <v>898.508707</v>
      </c>
      <c r="E426" s="11">
        <f>IFERROR(INDEX(rngData,MATCH($B426,rngYear,0),MATCH(OFFSET(E426,-$A426,0),rngColumnNames,0)),"")</f>
        <v>880.549468</v>
      </c>
      <c r="F426" s="11">
        <f>IFERROR(INDEX(rngData,MATCH($B426,rngYear,0),MATCH(OFFSET(F426,-$A426,0),rngColumnNames,0)),"")</f>
        <v>913.678883</v>
      </c>
      <c r="G426" s="11">
        <f t="shared" si="26"/>
        <v>33.129414999999995</v>
      </c>
    </row>
    <row r="427" hidden="1">
      <c r="A427" s="9">
        <f t="shared" si="27"/>
        <v>37</v>
      </c>
      <c r="B427" s="10">
        <f>IF(INDEX(rngYear,A427+1)&lt;&gt;0,INDEX(rngYear,A427+1),"")</f>
        <v>2016</v>
      </c>
      <c r="C427" s="11">
        <f>IFERROR(INDEX(rngData,MATCH($B427,rngYear,0),MATCH(OFFSET(C427,-$A427,0),rngColumnNames,0)),"")</f>
        <v>47.692524</v>
      </c>
      <c r="D427" s="11">
        <f>IFERROR(INDEX(rngData,MATCH($B427,rngYear,0),MATCH(OFFSET(D427,-$A427,0),rngColumnNames,0)),"")</f>
        <v>911.483315</v>
      </c>
      <c r="E427" s="11">
        <f>IFERROR(INDEX(rngData,MATCH($B427,rngYear,0),MATCH(OFFSET(E427,-$A427,0),rngColumnNames,0)),"")</f>
        <v>895.180912</v>
      </c>
      <c r="F427" s="11">
        <f>IFERROR(INDEX(rngData,MATCH($B427,rngYear,0),MATCH(OFFSET(F427,-$A427,0),rngColumnNames,0)),"")</f>
        <v>926.075643</v>
      </c>
      <c r="G427" s="11">
        <f t="shared" si="26"/>
        <v>30.894730999999979</v>
      </c>
    </row>
    <row r="428" hidden="1">
      <c r="A428" s="9">
        <f t="shared" si="27"/>
        <v>38</v>
      </c>
      <c r="B428" s="10">
        <f>IF(INDEX(rngYear,A428+1)&lt;&gt;0,INDEX(rngYear,A428+1),"")</f>
        <v>2017</v>
      </c>
      <c r="C428" s="11">
        <f>IFERROR(INDEX(rngData,MATCH($B428,rngYear,0),MATCH(OFFSET(C428,-$A428,0),rngColumnNames,0)),"")</f>
        <v>63</v>
      </c>
      <c r="D428" s="11">
        <f>IFERROR(INDEX(rngData,MATCH($B428,rngYear,0),MATCH(OFFSET(D428,-$A428,0),rngColumnNames,0)),"")</f>
        <v>920.527882</v>
      </c>
      <c r="E428" s="11">
        <f>IFERROR(INDEX(rngData,MATCH($B428,rngYear,0),MATCH(OFFSET(E428,-$A428,0),rngColumnNames,0)),"")</f>
        <v>905.425626</v>
      </c>
      <c r="F428" s="11">
        <f>IFERROR(INDEX(rngData,MATCH($B428,rngYear,0),MATCH(OFFSET(F428,-$A428,0),rngColumnNames,0)),"")</f>
        <v>936.178013</v>
      </c>
      <c r="G428" s="11">
        <f t="shared" si="26"/>
        <v>30.752387</v>
      </c>
    </row>
    <row r="429" hidden="1">
      <c r="A429" s="9">
        <f t="shared" si="27"/>
        <v>39</v>
      </c>
      <c r="B429" s="10">
        <f>IF(INDEX(rngYear,A429+1)&lt;&gt;0,INDEX(rngYear,A429+1),"")</f>
        <v>2018</v>
      </c>
      <c r="C429" s="11">
        <f>IFERROR(INDEX(rngData,MATCH($B429,rngYear,0),MATCH(OFFSET(C429,-$A429,0),rngColumnNames,0)),"")</f>
        <v>35</v>
      </c>
      <c r="D429" s="11">
        <f>IFERROR(INDEX(rngData,MATCH($B429,rngYear,0),MATCH(OFFSET(D429,-$A429,0),rngColumnNames,0)),"")</f>
        <v>924.736751</v>
      </c>
      <c r="E429" s="11">
        <f>IFERROR(INDEX(rngData,MATCH($B429,rngYear,0),MATCH(OFFSET(E429,-$A429,0),rngColumnNames,0)),"")</f>
        <v>909.919832</v>
      </c>
      <c r="F429" s="11">
        <f>IFERROR(INDEX(rngData,MATCH($B429,rngYear,0),MATCH(OFFSET(F429,-$A429,0),rngColumnNames,0)),"")</f>
        <v>940.19058</v>
      </c>
      <c r="G429" s="11">
        <f t="shared" si="26"/>
        <v>30.270747999999912</v>
      </c>
    </row>
    <row r="430" hidden="1">
      <c r="A430" s="9">
        <f t="shared" si="27"/>
        <v>40</v>
      </c>
      <c r="B430" s="10">
        <f>IF(INDEX(rngYear,A430+1)&lt;&gt;0,INDEX(rngYear,A430+1),"")</f>
        <v>2019</v>
      </c>
      <c r="C430" s="11">
        <f>IFERROR(INDEX(rngData,MATCH($B430,rngYear,0),MATCH(OFFSET(C430,-$A430,0),rngColumnNames,0)),"")</f>
        <v>60</v>
      </c>
      <c r="D430" s="11">
        <f>IFERROR(INDEX(rngData,MATCH($B430,rngYear,0),MATCH(OFFSET(D430,-$A430,0),rngColumnNames,0)),"")</f>
        <v>923.283315</v>
      </c>
      <c r="E430" s="11">
        <f>IFERROR(INDEX(rngData,MATCH($B430,rngYear,0),MATCH(OFFSET(E430,-$A430,0),rngColumnNames,0)),"")</f>
        <v>907.847278</v>
      </c>
      <c r="F430" s="11">
        <f>IFERROR(INDEX(rngData,MATCH($B430,rngYear,0),MATCH(OFFSET(F430,-$A430,0),rngColumnNames,0)),"")</f>
        <v>937.779531</v>
      </c>
      <c r="G430" s="11">
        <f t="shared" si="26"/>
        <v>29.93225300000006</v>
      </c>
    </row>
    <row r="431" hidden="1">
      <c r="A431" s="9">
        <f t="shared" si="27"/>
        <v>41</v>
      </c>
      <c r="B431" s="10">
        <f>IF(INDEX(rngYear,A431+1)&lt;&gt;0,INDEX(rngYear,A431+1),"")</f>
        <v>2020</v>
      </c>
      <c r="C431" s="11">
        <f>IFERROR(INDEX(rngData,MATCH($B431,rngYear,0),MATCH(OFFSET(C431,-$A431,0),rngColumnNames,0)),"")</f>
        <v>47</v>
      </c>
      <c r="D431" s="11">
        <f>IFERROR(INDEX(rngData,MATCH($B431,rngYear,0),MATCH(OFFSET(D431,-$A431,0),rngColumnNames,0)),"")</f>
        <v>914.718374</v>
      </c>
      <c r="E431" s="11">
        <f>IFERROR(INDEX(rngData,MATCH($B431,rngYear,0),MATCH(OFFSET(E431,-$A431,0),rngColumnNames,0)),"")</f>
        <v>898.613571</v>
      </c>
      <c r="F431" s="11">
        <f>IFERROR(INDEX(rngData,MATCH($B431,rngYear,0),MATCH(OFFSET(F431,-$A431,0),rngColumnNames,0)),"")</f>
        <v>929.661533</v>
      </c>
      <c r="G431" s="11">
        <f t="shared" si="26"/>
        <v>31.047961999999984</v>
      </c>
    </row>
    <row r="432" hidden="1">
      <c r="A432" s="9">
        <f t="shared" si="27"/>
        <v>42</v>
      </c>
      <c r="B432" s="10">
        <f>IF(INDEX(rngYear,A432+1)&lt;&gt;0,INDEX(rngYear,A432+1),"")</f>
        <v>2021</v>
      </c>
      <c r="C432" s="11">
        <f>IFERROR(INDEX(rngData,MATCH($B432,rngYear,0),MATCH(OFFSET(C432,-$A432,0),rngColumnNames,0)),"")</f>
        <v>60</v>
      </c>
      <c r="D432" s="11">
        <f>IFERROR(INDEX(rngData,MATCH($B432,rngYear,0),MATCH(OFFSET(D432,-$A432,0),rngColumnNames,0)),"")</f>
        <v>899.236381</v>
      </c>
      <c r="E432" s="11">
        <f>IFERROR(INDEX(rngData,MATCH($B432,rngYear,0),MATCH(OFFSET(E432,-$A432,0),rngColumnNames,0)),"")</f>
        <v>881.066092</v>
      </c>
      <c r="F432" s="11">
        <f>IFERROR(INDEX(rngData,MATCH($B432,rngYear,0),MATCH(OFFSET(F432,-$A432,0),rngColumnNames,0)),"")</f>
        <v>914.648195</v>
      </c>
      <c r="G432" s="11">
        <f t="shared" si="26"/>
        <v>33.582102999999961</v>
      </c>
    </row>
    <row r="433" hidden="1">
      <c r="A433" s="9">
        <f t="shared" si="27"/>
        <v>43</v>
      </c>
      <c r="B433" s="10">
        <f>IF(INDEX(rngYear,A433+1)&lt;&gt;0,INDEX(rngYear,A433+1),"")</f>
        <v>2022</v>
      </c>
      <c r="C433" s="11">
        <f>IFERROR(INDEX(rngData,MATCH($B433,rngYear,0),MATCH(OFFSET(C433,-$A433,0),rngColumnNames,0)),"")</f>
        <v>50</v>
      </c>
      <c r="D433" s="11">
        <f>IFERROR(INDEX(rngData,MATCH($B433,rngYear,0),MATCH(OFFSET(D433,-$A433,0),rngColumnNames,0)),"")</f>
        <v>877.088218</v>
      </c>
      <c r="E433" s="11">
        <f>IFERROR(INDEX(rngData,MATCH($B433,rngYear,0),MATCH(OFFSET(E433,-$A433,0),rngColumnNames,0)),"")</f>
        <v>858.355908</v>
      </c>
      <c r="F433" s="11">
        <f>IFERROR(INDEX(rngData,MATCH($B433,rngYear,0),MATCH(OFFSET(F433,-$A433,0),rngColumnNames,0)),"")</f>
        <v>894.793033</v>
      </c>
      <c r="G433" s="11">
        <f t="shared" si="26"/>
        <v>36.437125000000037</v>
      </c>
    </row>
    <row r="434" hidden="1">
      <c r="A434" s="9">
        <f t="shared" si="27"/>
        <v>44</v>
      </c>
      <c r="B434" s="10">
        <f>IF(INDEX(rngYear,A434+1)&lt;&gt;0,INDEX(rngYear,A434+1),"")</f>
      </c>
      <c r="C434" s="11">
        <f>IFERROR(INDEX(rngData,MATCH($B434,rngYear,0),MATCH(OFFSET(C434,-$A434,0),rngColumnNames,0)),"")</f>
      </c>
      <c r="D434" s="11">
        <f>IFERROR(INDEX(rngData,MATCH($B434,rngYear,0),MATCH(OFFSET(D434,-$A434,0),rngColumnNames,0)),"")</f>
      </c>
      <c r="E434" s="11">
        <f>IFERROR(INDEX(rngData,MATCH($B434,rngYear,0),MATCH(OFFSET(E434,-$A434,0),rngColumnNames,0)),"")</f>
      </c>
      <c r="F434" s="11">
        <f>IFERROR(INDEX(rngData,MATCH($B434,rngYear,0),MATCH(OFFSET(F434,-$A434,0),rngColumnNames,0)),"")</f>
      </c>
      <c r="G434" s="11">
        <f t="shared" si="26"/>
      </c>
    </row>
    <row r="435" hidden="1">
      <c r="A435" s="9">
        <f t="shared" si="27"/>
        <v>45</v>
      </c>
      <c r="B435" s="10">
        <f>IF(INDEX(rngYear,A435+1)&lt;&gt;0,INDEX(rngYear,A435+1),"")</f>
      </c>
      <c r="C435" s="11">
        <f>IFERROR(INDEX(rngData,MATCH($B435,rngYear,0),MATCH(OFFSET(C435,-$A435,0),rngColumnNames,0)),"")</f>
      </c>
      <c r="D435" s="11">
        <f>IFERROR(INDEX(rngData,MATCH($B435,rngYear,0),MATCH(OFFSET(D435,-$A435,0),rngColumnNames,0)),"")</f>
      </c>
      <c r="E435" s="11">
        <f>IFERROR(INDEX(rngData,MATCH($B435,rngYear,0),MATCH(OFFSET(E435,-$A435,0),rngColumnNames,0)),"")</f>
      </c>
      <c r="F435" s="11">
        <f>IFERROR(INDEX(rngData,MATCH($B435,rngYear,0),MATCH(OFFSET(F435,-$A435,0),rngColumnNames,0)),"")</f>
      </c>
      <c r="G435" s="11">
        <f t="shared" si="26"/>
      </c>
    </row>
    <row r="436" hidden="1">
      <c r="A436" s="9">
        <f t="shared" si="27"/>
        <v>46</v>
      </c>
      <c r="B436" s="10">
        <f>IF(INDEX(rngYear,A436+1)&lt;&gt;0,INDEX(rngYear,A436+1),"")</f>
      </c>
      <c r="C436" s="11">
        <f>IFERROR(INDEX(rngData,MATCH($B436,rngYear,0),MATCH(OFFSET(C436,-$A436,0),rngColumnNames,0)),"")</f>
      </c>
      <c r="D436" s="11">
        <f>IFERROR(INDEX(rngData,MATCH($B436,rngYear,0),MATCH(OFFSET(D436,-$A436,0),rngColumnNames,0)),"")</f>
      </c>
      <c r="E436" s="11">
        <f>IFERROR(INDEX(rngData,MATCH($B436,rngYear,0),MATCH(OFFSET(E436,-$A436,0),rngColumnNames,0)),"")</f>
      </c>
      <c r="F436" s="11">
        <f>IFERROR(INDEX(rngData,MATCH($B436,rngYear,0),MATCH(OFFSET(F436,-$A436,0),rngColumnNames,0)),"")</f>
      </c>
      <c r="G436" s="11">
        <f t="shared" si="26"/>
      </c>
    </row>
    <row r="437" hidden="1">
      <c r="A437" s="9">
        <f t="shared" si="27"/>
        <v>47</v>
      </c>
      <c r="B437" s="10">
        <f>IF(INDEX(rngYear,A437+1)&lt;&gt;0,INDEX(rngYear,A437+1),"")</f>
      </c>
      <c r="C437" s="11">
        <f>IFERROR(INDEX(rngData,MATCH($B437,rngYear,0),MATCH(OFFSET(C437,-$A437,0),rngColumnNames,0)),"")</f>
      </c>
      <c r="D437" s="11">
        <f>IFERROR(INDEX(rngData,MATCH($B437,rngYear,0),MATCH(OFFSET(D437,-$A437,0),rngColumnNames,0)),"")</f>
      </c>
      <c r="E437" s="11">
        <f>IFERROR(INDEX(rngData,MATCH($B437,rngYear,0),MATCH(OFFSET(E437,-$A437,0),rngColumnNames,0)),"")</f>
      </c>
      <c r="F437" s="11">
        <f>IFERROR(INDEX(rngData,MATCH($B437,rngYear,0),MATCH(OFFSET(F437,-$A437,0),rngColumnNames,0)),"")</f>
      </c>
      <c r="G437" s="11">
        <f t="shared" si="26"/>
      </c>
    </row>
    <row r="438" hidden="1">
      <c r="A438" s="9">
        <f t="shared" si="27"/>
        <v>48</v>
      </c>
      <c r="B438" s="10">
        <f>IF(INDEX(rngYear,A438+1)&lt;&gt;0,INDEX(rngYear,A438+1),"")</f>
      </c>
      <c r="C438" s="11">
        <f>IFERROR(INDEX(rngData,MATCH($B438,rngYear,0),MATCH(OFFSET(C438,-$A438,0),rngColumnNames,0)),"")</f>
      </c>
      <c r="D438" s="11">
        <f>IFERROR(INDEX(rngData,MATCH($B438,rngYear,0),MATCH(OFFSET(D438,-$A438,0),rngColumnNames,0)),"")</f>
      </c>
      <c r="E438" s="11">
        <f>IFERROR(INDEX(rngData,MATCH($B438,rngYear,0),MATCH(OFFSET(E438,-$A438,0),rngColumnNames,0)),"")</f>
      </c>
      <c r="F438" s="11">
        <f>IFERROR(INDEX(rngData,MATCH($B438,rngYear,0),MATCH(OFFSET(F438,-$A438,0),rngColumnNames,0)),"")</f>
      </c>
      <c r="G438" s="11">
        <f t="shared" si="26"/>
      </c>
    </row>
    <row r="439" hidden="1">
      <c r="A439" s="9">
        <f t="shared" si="27"/>
        <v>49</v>
      </c>
      <c r="B439" s="10">
        <f>IF(INDEX(rngYear,A439+1)&lt;&gt;0,INDEX(rngYear,A439+1),"")</f>
      </c>
      <c r="C439" s="11">
        <f>IFERROR(INDEX(rngData,MATCH($B439,rngYear,0),MATCH(OFFSET(C439,-$A439,0),rngColumnNames,0)),"")</f>
      </c>
      <c r="D439" s="11">
        <f>IFERROR(INDEX(rngData,MATCH($B439,rngYear,0),MATCH(OFFSET(D439,-$A439,0),rngColumnNames,0)),"")</f>
      </c>
      <c r="E439" s="11">
        <f>IFERROR(INDEX(rngData,MATCH($B439,rngYear,0),MATCH(OFFSET(E439,-$A439,0),rngColumnNames,0)),"")</f>
      </c>
      <c r="F439" s="11">
        <f>IFERROR(INDEX(rngData,MATCH($B439,rngYear,0),MATCH(OFFSET(F439,-$A439,0),rngColumnNames,0)),"")</f>
      </c>
      <c r="G439" s="11">
        <f t="shared" si="26"/>
      </c>
    </row>
    <row r="440" hidden="1">
      <c r="A440" s="9">
        <f t="shared" si="27"/>
        <v>50</v>
      </c>
      <c r="B440" s="10">
        <f>IF(INDEX(rngYear,A440+1)&lt;&gt;0,INDEX(rngYear,A440+1),"")</f>
      </c>
      <c r="C440" s="11">
        <f>IFERROR(INDEX(rngData,MATCH($B440,rngYear,0),MATCH(OFFSET(C440,-$A440,0),rngColumnNames,0)),"")</f>
      </c>
      <c r="D440" s="11">
        <f>IFERROR(INDEX(rngData,MATCH($B440,rngYear,0),MATCH(OFFSET(D440,-$A440,0),rngColumnNames,0)),"")</f>
      </c>
      <c r="E440" s="11">
        <f>IFERROR(INDEX(rngData,MATCH($B440,rngYear,0),MATCH(OFFSET(E440,-$A440,0),rngColumnNames,0)),"")</f>
      </c>
      <c r="F440" s="11">
        <f>IFERROR(INDEX(rngData,MATCH($B440,rngYear,0),MATCH(OFFSET(F440,-$A440,0),rngColumnNames,0)),"")</f>
      </c>
      <c r="G440" s="11">
        <f t="shared" si="26"/>
      </c>
    </row>
    <row r="441" hidden="1">
      <c r="A441" s="9">
        <f t="shared" si="27"/>
        <v>51</v>
      </c>
      <c r="B441" s="10">
        <f>IF(INDEX(rngYear,A441+1)&lt;&gt;0,INDEX(rngYear,A441+1),"")</f>
      </c>
      <c r="C441" s="11">
        <f>IFERROR(INDEX(rngData,MATCH($B441,rngYear,0),MATCH(OFFSET(C441,-$A441,0),rngColumnNames,0)),"")</f>
      </c>
      <c r="D441" s="11">
        <f>IFERROR(INDEX(rngData,MATCH($B441,rngYear,0),MATCH(OFFSET(D441,-$A441,0),rngColumnNames,0)),"")</f>
      </c>
      <c r="E441" s="11">
        <f>IFERROR(INDEX(rngData,MATCH($B441,rngYear,0),MATCH(OFFSET(E441,-$A441,0),rngColumnNames,0)),"")</f>
      </c>
      <c r="F441" s="11">
        <f>IFERROR(INDEX(rngData,MATCH($B441,rngYear,0),MATCH(OFFSET(F441,-$A441,0),rngColumnNames,0)),"")</f>
      </c>
      <c r="G441" s="11">
        <f t="shared" si="26"/>
      </c>
    </row>
    <row r="442" hidden="1">
      <c r="A442" s="9">
        <f t="shared" si="27"/>
        <v>52</v>
      </c>
      <c r="B442" s="10">
        <f>IF(INDEX(rngYear,A442+1)&lt;&gt;0,INDEX(rngYear,A442+1),"")</f>
      </c>
      <c r="C442" s="11">
        <f>IFERROR(INDEX(rngData,MATCH($B442,rngYear,0),MATCH(OFFSET(C442,-$A442,0),rngColumnNames,0)),"")</f>
      </c>
      <c r="D442" s="11">
        <f>IFERROR(INDEX(rngData,MATCH($B442,rngYear,0),MATCH(OFFSET(D442,-$A442,0),rngColumnNames,0)),"")</f>
      </c>
      <c r="E442" s="11">
        <f>IFERROR(INDEX(rngData,MATCH($B442,rngYear,0),MATCH(OFFSET(E442,-$A442,0),rngColumnNames,0)),"")</f>
      </c>
      <c r="F442" s="11">
        <f>IFERROR(INDEX(rngData,MATCH($B442,rngYear,0),MATCH(OFFSET(F442,-$A442,0),rngColumnNames,0)),"")</f>
      </c>
      <c r="G442" s="11">
        <f t="shared" si="26"/>
      </c>
    </row>
    <row r="443" hidden="1">
      <c r="A443" s="9">
        <f t="shared" si="27"/>
        <v>53</v>
      </c>
      <c r="B443" s="10">
        <f>IF(INDEX(rngYear,A443+1)&lt;&gt;0,INDEX(rngYear,A443+1),"")</f>
      </c>
      <c r="C443" s="11">
        <f>IFERROR(INDEX(rngData,MATCH($B443,rngYear,0),MATCH(OFFSET(C443,-$A443,0),rngColumnNames,0)),"")</f>
      </c>
      <c r="D443" s="11">
        <f>IFERROR(INDEX(rngData,MATCH($B443,rngYear,0),MATCH(OFFSET(D443,-$A443,0),rngColumnNames,0)),"")</f>
      </c>
      <c r="E443" s="11">
        <f>IFERROR(INDEX(rngData,MATCH($B443,rngYear,0),MATCH(OFFSET(E443,-$A443,0),rngColumnNames,0)),"")</f>
      </c>
      <c r="F443" s="11">
        <f>IFERROR(INDEX(rngData,MATCH($B443,rngYear,0),MATCH(OFFSET(F443,-$A443,0),rngColumnNames,0)),"")</f>
      </c>
      <c r="G443" s="11">
        <f t="shared" si="26"/>
      </c>
    </row>
    <row r="444" hidden="1">
      <c r="A444" s="9">
        <f t="shared" si="27"/>
        <v>54</v>
      </c>
      <c r="B444" s="10">
        <f>IF(INDEX(rngYear,A444+1)&lt;&gt;0,INDEX(rngYear,A444+1),"")</f>
      </c>
      <c r="C444" s="11">
        <f>IFERROR(INDEX(rngData,MATCH($B444,rngYear,0),MATCH(OFFSET(C444,-$A444,0),rngColumnNames,0)),"")</f>
      </c>
      <c r="D444" s="11">
        <f>IFERROR(INDEX(rngData,MATCH($B444,rngYear,0),MATCH(OFFSET(D444,-$A444,0),rngColumnNames,0)),"")</f>
      </c>
      <c r="E444" s="11">
        <f>IFERROR(INDEX(rngData,MATCH($B444,rngYear,0),MATCH(OFFSET(E444,-$A444,0),rngColumnNames,0)),"")</f>
      </c>
      <c r="F444" s="11">
        <f>IFERROR(INDEX(rngData,MATCH($B444,rngYear,0),MATCH(OFFSET(F444,-$A444,0),rngColumnNames,0)),"")</f>
      </c>
      <c r="G444" s="11">
        <f t="shared" si="26"/>
      </c>
    </row>
    <row r="445" hidden="1">
      <c r="A445" s="9">
        <f t="shared" si="27"/>
        <v>55</v>
      </c>
      <c r="B445" s="10">
        <f>IF(INDEX(rngYear,A445+1)&lt;&gt;0,INDEX(rngYear,A445+1),"")</f>
      </c>
      <c r="C445" s="11">
        <f>IFERROR(INDEX(rngData,MATCH($B445,rngYear,0),MATCH(OFFSET(C445,-$A445,0),rngColumnNames,0)),"")</f>
      </c>
      <c r="D445" s="11">
        <f>IFERROR(INDEX(rngData,MATCH($B445,rngYear,0),MATCH(OFFSET(D445,-$A445,0),rngColumnNames,0)),"")</f>
      </c>
      <c r="E445" s="11">
        <f>IFERROR(INDEX(rngData,MATCH($B445,rngYear,0),MATCH(OFFSET(E445,-$A445,0),rngColumnNames,0)),"")</f>
      </c>
      <c r="F445" s="11">
        <f>IFERROR(INDEX(rngData,MATCH($B445,rngYear,0),MATCH(OFFSET(F445,-$A445,0),rngColumnNames,0)),"")</f>
      </c>
      <c r="G445" s="11">
        <f t="shared" si="26"/>
      </c>
    </row>
    <row r="446" hidden="1">
      <c r="A446" s="9">
        <f t="shared" si="27"/>
        <v>56</v>
      </c>
      <c r="B446" s="10">
        <f>IF(INDEX(rngYear,A446+1)&lt;&gt;0,INDEX(rngYear,A446+1),"")</f>
      </c>
      <c r="C446" s="11">
        <f>IFERROR(INDEX(rngData,MATCH($B446,rngYear,0),MATCH(OFFSET(C446,-$A446,0),rngColumnNames,0)),"")</f>
      </c>
      <c r="D446" s="11">
        <f>IFERROR(INDEX(rngData,MATCH($B446,rngYear,0),MATCH(OFFSET(D446,-$A446,0),rngColumnNames,0)),"")</f>
      </c>
      <c r="E446" s="11">
        <f>IFERROR(INDEX(rngData,MATCH($B446,rngYear,0),MATCH(OFFSET(E446,-$A446,0),rngColumnNames,0)),"")</f>
      </c>
      <c r="F446" s="11">
        <f>IFERROR(INDEX(rngData,MATCH($B446,rngYear,0),MATCH(OFFSET(F446,-$A446,0),rngColumnNames,0)),"")</f>
      </c>
      <c r="G446" s="11">
        <f t="shared" si="26"/>
      </c>
    </row>
    <row r="447" hidden="1">
      <c r="A447" s="9">
        <f t="shared" si="27"/>
        <v>57</v>
      </c>
      <c r="B447" s="10">
        <f>IF(INDEX(rngYear,A447+1)&lt;&gt;0,INDEX(rngYear,A447+1),"")</f>
      </c>
      <c r="C447" s="11">
        <f>IFERROR(INDEX(rngData,MATCH($B447,rngYear,0),MATCH(OFFSET(C447,-$A447,0),rngColumnNames,0)),"")</f>
      </c>
      <c r="D447" s="11">
        <f>IFERROR(INDEX(rngData,MATCH($B447,rngYear,0),MATCH(OFFSET(D447,-$A447,0),rngColumnNames,0)),"")</f>
      </c>
      <c r="E447" s="11">
        <f>IFERROR(INDEX(rngData,MATCH($B447,rngYear,0),MATCH(OFFSET(E447,-$A447,0),rngColumnNames,0)),"")</f>
      </c>
      <c r="F447" s="11">
        <f>IFERROR(INDEX(rngData,MATCH($B447,rngYear,0),MATCH(OFFSET(F447,-$A447,0),rngColumnNames,0)),"")</f>
      </c>
      <c r="G447" s="11">
        <f t="shared" si="26"/>
      </c>
    </row>
    <row r="448" hidden="1">
      <c r="A448" s="9">
        <f t="shared" si="27"/>
        <v>58</v>
      </c>
      <c r="B448" s="10">
        <f>IF(INDEX(rngYear,A448+1)&lt;&gt;0,INDEX(rngYear,A448+1),"")</f>
      </c>
      <c r="C448" s="11">
        <f>IFERROR(INDEX(rngData,MATCH($B448,rngYear,0),MATCH(OFFSET(C448,-$A448,0),rngColumnNames,0)),"")</f>
      </c>
      <c r="D448" s="11">
        <f>IFERROR(INDEX(rngData,MATCH($B448,rngYear,0),MATCH(OFFSET(D448,-$A448,0),rngColumnNames,0)),"")</f>
      </c>
      <c r="E448" s="11">
        <f>IFERROR(INDEX(rngData,MATCH($B448,rngYear,0),MATCH(OFFSET(E448,-$A448,0),rngColumnNames,0)),"")</f>
      </c>
      <c r="F448" s="11">
        <f>IFERROR(INDEX(rngData,MATCH($B448,rngYear,0),MATCH(OFFSET(F448,-$A448,0),rngColumnNames,0)),"")</f>
      </c>
      <c r="G448" s="11">
        <f t="shared" si="26"/>
      </c>
    </row>
    <row r="449" hidden="1">
      <c r="A449" s="9">
        <f t="shared" si="27"/>
        <v>59</v>
      </c>
      <c r="B449" s="10">
        <f>IF(INDEX(rngYear,A449+1)&lt;&gt;0,INDEX(rngYear,A449+1),"")</f>
      </c>
      <c r="C449" s="11">
        <f>IFERROR(INDEX(rngData,MATCH($B449,rngYear,0),MATCH(OFFSET(C449,-$A449,0),rngColumnNames,0)),"")</f>
      </c>
      <c r="D449" s="11">
        <f>IFERROR(INDEX(rngData,MATCH($B449,rngYear,0),MATCH(OFFSET(D449,-$A449,0),rngColumnNames,0)),"")</f>
      </c>
      <c r="E449" s="11">
        <f>IFERROR(INDEX(rngData,MATCH($B449,rngYear,0),MATCH(OFFSET(E449,-$A449,0),rngColumnNames,0)),"")</f>
      </c>
      <c r="F449" s="11">
        <f>IFERROR(INDEX(rngData,MATCH($B449,rngYear,0),MATCH(OFFSET(F449,-$A449,0),rngColumnNames,0)),"")</f>
      </c>
      <c r="G449" s="11">
        <f t="shared" si="26"/>
      </c>
    </row>
    <row r="450" hidden="1">
      <c r="A450" s="9">
        <f t="shared" si="27"/>
        <v>60</v>
      </c>
      <c r="B450" s="10">
        <f>IF(INDEX(rngYear,A450+1)&lt;&gt;0,INDEX(rngYear,A450+1),"")</f>
      </c>
      <c r="C450" s="11">
        <f>IFERROR(INDEX(rngData,MATCH($B450,rngYear,0),MATCH(OFFSET(C450,-$A450,0),rngColumnNames,0)),"")</f>
      </c>
      <c r="D450" s="11">
        <f>IFERROR(INDEX(rngData,MATCH($B450,rngYear,0),MATCH(OFFSET(D450,-$A450,0),rngColumnNames,0)),"")</f>
      </c>
      <c r="E450" s="11">
        <f>IFERROR(INDEX(rngData,MATCH($B450,rngYear,0),MATCH(OFFSET(E450,-$A450,0),rngColumnNames,0)),"")</f>
      </c>
      <c r="F450" s="11">
        <f>IFERROR(INDEX(rngData,MATCH($B450,rngYear,0),MATCH(OFFSET(F450,-$A450,0),rngColumnNames,0)),"")</f>
      </c>
      <c r="G450" s="11">
        <f t="shared" si="26"/>
      </c>
    </row>
  </sheetData>
  <mergeCells>
    <mergeCell ref="A4:T4"/>
    <mergeCell ref="E69:G69"/>
    <mergeCell ref="E133:G133"/>
    <mergeCell ref="A196:T196"/>
    <mergeCell ref="A132:T132"/>
    <mergeCell ref="E5:G5"/>
    <mergeCell ref="A68:T68"/>
    <mergeCell ref="A388:T388"/>
    <mergeCell ref="E389:G389"/>
    <mergeCell ref="E197:G197"/>
    <mergeCell ref="E261:G261"/>
    <mergeCell ref="E325:G325"/>
    <mergeCell ref="A324:T324"/>
    <mergeCell ref="A260:T260"/>
  </mergeCells>
  <dataValidations count="2">
    <dataValidation type="list" allowBlank="1" showInputMessage="1" showErrorMessage="1" sqref="C6:F6 C390:F390 K417 C326:F326 K353 C262:F262 K289 C198:F198 K225 C134:F134 K161 C70:F70 K97" xr:uid="{00000000-0002-0000-0000-000000000000}">
      <formula1>rngColumnNames</formula1>
    </dataValidation>
    <dataValidation type="list" allowBlank="1" showDropDown="1" showInputMessage="1" showErrorMessage="1" sqref="B6 B390 B326 B262 B198 B134 B70" xr:uid="{00000000-0002-0000-0000-000001000000}">
      <formula1>"year"</formula1>
    </dataValidation>
  </dataValidations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freshTables">
                <anchor moveWithCells="1" sizeWithCells="1">
                  <from>
                    <xdr:col>3</xdr:col>
                    <xdr:colOff>1095375</xdr:colOff>
                    <xdr:row>0</xdr:row>
                    <xdr:rowOff>38100</xdr:rowOff>
                  </from>
                  <to>
                    <xdr:col>4</xdr:col>
                    <xdr:colOff>1162050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  <pageSetUpPr autoPageBreaks="0"/>
  </sheetPr>
  <dimension ref="A1:T255"/>
  <sheetViews>
    <sheetView showGridLines="0" tabSelected="1" topLeftCell="A217" workbookViewId="0">
      <selection activeCell="H59" sqref="H59"/>
    </sheetView>
  </sheetViews>
  <sheetFormatPr defaultColWidth="9.140625" defaultRowHeight="11.25" x14ac:dyDescent="0.2"/>
  <cols>
    <col min="1" max="1" bestFit="1" width="3.28515625" customWidth="1" style="9"/>
    <col min="2" max="2" width="8.5703125" customWidth="1" style="1"/>
    <col min="3" max="3" width="17.42578125" customWidth="1" style="1"/>
    <col min="4" max="4" width="17.42578125" customWidth="1" style="12"/>
    <col min="5" max="5" width="17.42578125" customWidth="1" style="12"/>
    <col min="6" max="6" width="17.42578125" customWidth="1" style="12"/>
    <col min="7" max="7" width="17.42578125" customWidth="1" style="12"/>
    <col min="8" max="8" width="17.42578125" customWidth="1" style="1"/>
    <col min="9" max="9" width="17.42578125" customWidth="1" style="1"/>
    <col min="10" max="10" width="17.42578125" customWidth="1" style="1"/>
    <col min="11" max="11" width="17.42578125" customWidth="1" style="1"/>
    <col min="12" max="12" width="17.42578125" customWidth="1" style="1"/>
    <col min="13" max="13" width="17.42578125" customWidth="1" style="1"/>
    <col min="14" max="14" width="17.42578125" customWidth="1" style="1"/>
    <col min="15" max="15" width="9.140625" customWidth="1" style="1"/>
    <col min="16" max="16" width="9.140625" customWidth="1" style="1"/>
    <col min="17" max="17" width="9.140625" customWidth="1" style="1"/>
    <col min="18" max="18" width="9.140625" customWidth="1" style="1"/>
    <col min="19" max="19" width="9.140625" customWidth="1" style="1"/>
    <col min="20" max="20" width="9.140625" customWidth="1" style="1"/>
    <col min="21" max="21" width="9.140625" customWidth="1" style="1"/>
    <col min="22" max="22" width="9.140625" customWidth="1" style="1"/>
    <col min="23" max="23" width="9.140625" customWidth="1" style="1"/>
    <col min="24" max="24" width="9.140625" customWidth="1" style="1"/>
    <col min="25" max="25" width="9.140625" customWidth="1" style="1"/>
    <col min="26" max="26" width="9.140625" customWidth="1" style="1"/>
    <col min="27" max="27" width="9.140625" customWidth="1" style="1"/>
    <col min="28" max="16384" width="9.140625" customWidth="1" style="1"/>
  </cols>
  <sheetData>
    <row r="1" ht="19.5" customHeight="1">
      <c r="A1" s="16" t="s">
        <v>40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2"/>
      <c r="O1" s="2"/>
      <c r="P1" s="2"/>
      <c r="Q1" s="2"/>
      <c r="R1" s="2"/>
      <c r="S1" s="2"/>
      <c r="T1" s="3"/>
    </row>
    <row r="2" ht="15" customHeight="1">
      <c r="B2" s="4"/>
      <c r="C2" s="5" t="s">
        <v>2</v>
      </c>
      <c r="D2" s="17" t="s">
        <v>3</v>
      </c>
      <c r="E2" s="18"/>
      <c r="F2" s="19"/>
    </row>
    <row r="3" ht="22.5" customHeight="1">
      <c r="A3" s="6" t="s">
        <v>4</v>
      </c>
      <c r="B3" s="7" t="s">
        <v>5</v>
      </c>
      <c r="C3" s="7" t="s">
        <v>41</v>
      </c>
      <c r="D3" s="7" t="s">
        <v>42</v>
      </c>
      <c r="E3" s="7" t="s">
        <v>43</v>
      </c>
      <c r="F3" s="8" t="s">
        <v>3</v>
      </c>
    </row>
    <row r="4">
      <c r="A4" s="9">
        <v>1</v>
      </c>
      <c r="B4" s="10">
        <f>IF(INDEX(rngYear,A4+1)&lt;&gt;0,INDEX(rngYear,A4+1),"")</f>
        <v>1980</v>
      </c>
      <c r="C4" s="11">
        <f>IFERROR(INDEX(rngData,MATCH($B4,rngYear,0),MATCH(OFFSET(C4,-$A4,0),rngColumnNames,0)),"")</f>
        <v>235.534805</v>
      </c>
      <c r="D4" s="11">
        <f>IFERROR(INDEX(rngData,MATCH($B4,rngYear,0),MATCH(OFFSET(D4,-$A4,0),rngColumnNames,0)),"")</f>
        <v>229.54351</v>
      </c>
      <c r="E4" s="11">
        <f>IFERROR(INDEX(rngData,MATCH($B4,rngYear,0),MATCH(OFFSET(E4,-$A4,0),rngColumnNames,0)),"")</f>
        <v>242.169985</v>
      </c>
      <c r="F4" s="11">
        <f ref="F4:F35" t="shared" si="0">IFERROR(E4-D4,"")</f>
        <v>12.626475</v>
      </c>
    </row>
    <row r="5">
      <c r="A5" s="9">
        <f ref="A5:A36" t="shared" si="1">A4+1</f>
        <v>2</v>
      </c>
      <c r="B5" s="10">
        <f>IF(INDEX(rngYear,A5+1)&lt;&gt;0,INDEX(rngYear,A5+1),"")</f>
        <v>1981</v>
      </c>
      <c r="C5" s="11">
        <f>IFERROR(INDEX(rngData,MATCH($B5,rngYear,0),MATCH(OFFSET(C5,-$A5,0),rngColumnNames,0)),"")</f>
        <v>638.003748</v>
      </c>
      <c r="D5" s="11">
        <f>IFERROR(INDEX(rngData,MATCH($B5,rngYear,0),MATCH(OFFSET(D5,-$A5,0),rngColumnNames,0)),"")</f>
        <v>622.349815</v>
      </c>
      <c r="E5" s="11">
        <f>IFERROR(INDEX(rngData,MATCH($B5,rngYear,0),MATCH(OFFSET(E5,-$A5,0),rngColumnNames,0)),"")</f>
        <v>654.950782</v>
      </c>
      <c r="F5" s="11">
        <f t="shared" si="0"/>
        <v>32.600966999999969</v>
      </c>
    </row>
    <row r="6">
      <c r="A6" s="9">
        <f t="shared" si="1"/>
        <v>3</v>
      </c>
      <c r="B6" s="10">
        <f>IF(INDEX(rngYear,A6+1)&lt;&gt;0,INDEX(rngYear,A6+1),"")</f>
        <v>1982</v>
      </c>
      <c r="C6" s="11">
        <f>IFERROR(INDEX(rngData,MATCH($B6,rngYear,0),MATCH(OFFSET(C6,-$A6,0),rngColumnNames,0)),"")</f>
        <v>944.831517</v>
      </c>
      <c r="D6" s="11">
        <f>IFERROR(INDEX(rngData,MATCH($B6,rngYear,0),MATCH(OFFSET(D6,-$A6,0),rngColumnNames,0)),"")</f>
        <v>922.712541</v>
      </c>
      <c r="E6" s="11">
        <f>IFERROR(INDEX(rngData,MATCH($B6,rngYear,0),MATCH(OFFSET(E6,-$A6,0),rngColumnNames,0)),"")</f>
        <v>968.503558</v>
      </c>
      <c r="F6" s="11">
        <f t="shared" si="0"/>
        <v>45.791017000000011</v>
      </c>
    </row>
    <row r="7">
      <c r="A7" s="9">
        <f t="shared" si="1"/>
        <v>4</v>
      </c>
      <c r="B7" s="10">
        <f>IF(INDEX(rngYear,A7+1)&lt;&gt;0,INDEX(rngYear,A7+1),"")</f>
        <v>1983</v>
      </c>
      <c r="C7" s="11">
        <f>IFERROR(INDEX(rngData,MATCH($B7,rngYear,0),MATCH(OFFSET(C7,-$A7,0),rngColumnNames,0)),"")</f>
        <v>1165.697807</v>
      </c>
      <c r="D7" s="11">
        <f>IFERROR(INDEX(rngData,MATCH($B7,rngYear,0),MATCH(OFFSET(D7,-$A7,0),rngColumnNames,0)),"")</f>
        <v>1139.934937</v>
      </c>
      <c r="E7" s="11">
        <f>IFERROR(INDEX(rngData,MATCH($B7,rngYear,0),MATCH(OFFSET(E7,-$A7,0),rngColumnNames,0)),"")</f>
        <v>1194.672617</v>
      </c>
      <c r="F7" s="11">
        <f t="shared" si="0"/>
        <v>54.737679999999955</v>
      </c>
    </row>
    <row r="8">
      <c r="A8" s="9">
        <f t="shared" si="1"/>
        <v>5</v>
      </c>
      <c r="B8" s="10">
        <f>IF(INDEX(rngYear,A8+1)&lt;&gt;0,INDEX(rngYear,A8+1),"")</f>
        <v>1984</v>
      </c>
      <c r="C8" s="11">
        <f>IFERROR(INDEX(rngData,MATCH($B8,rngYear,0),MATCH(OFFSET(C8,-$A8,0),rngColumnNames,0)),"")</f>
        <v>1310.282312</v>
      </c>
      <c r="D8" s="11">
        <f>IFERROR(INDEX(rngData,MATCH($B8,rngYear,0),MATCH(OFFSET(D8,-$A8,0),rngColumnNames,0)),"")</f>
        <v>1282.379897</v>
      </c>
      <c r="E8" s="11">
        <f>IFERROR(INDEX(rngData,MATCH($B8,rngYear,0),MATCH(OFFSET(E8,-$A8,0),rngColumnNames,0)),"")</f>
        <v>1342.700697</v>
      </c>
      <c r="F8" s="11">
        <f t="shared" si="0"/>
        <v>60.320799999999963</v>
      </c>
    </row>
    <row r="9">
      <c r="A9" s="9">
        <f t="shared" si="1"/>
        <v>6</v>
      </c>
      <c r="B9" s="10">
        <f>IF(INDEX(rngYear,A9+1)&lt;&gt;0,INDEX(rngYear,A9+1),"")</f>
        <v>1985</v>
      </c>
      <c r="C9" s="11">
        <f>IFERROR(INDEX(rngData,MATCH($B9,rngYear,0),MATCH(OFFSET(C9,-$A9,0),rngColumnNames,0)),"")</f>
        <v>1388.264726</v>
      </c>
      <c r="D9" s="11">
        <f>IFERROR(INDEX(rngData,MATCH($B9,rngYear,0),MATCH(OFFSET(D9,-$A9,0),rngColumnNames,0)),"")</f>
        <v>1362.171746</v>
      </c>
      <c r="E9" s="11">
        <f>IFERROR(INDEX(rngData,MATCH($B9,rngYear,0),MATCH(OFFSET(E9,-$A9,0),rngColumnNames,0)),"")</f>
        <v>1421.27998</v>
      </c>
      <c r="F9" s="11">
        <f t="shared" si="0"/>
        <v>59.108234000000039</v>
      </c>
    </row>
    <row r="10">
      <c r="A10" s="9">
        <f t="shared" si="1"/>
        <v>7</v>
      </c>
      <c r="B10" s="10">
        <f>IF(INDEX(rngYear,A10+1)&lt;&gt;0,INDEX(rngYear,A10+1),"")</f>
        <v>1986</v>
      </c>
      <c r="C10" s="11">
        <f>IFERROR(INDEX(rngData,MATCH($B10,rngYear,0),MATCH(OFFSET(C10,-$A10,0),rngColumnNames,0)),"")</f>
        <v>1409.324745</v>
      </c>
      <c r="D10" s="11">
        <f>IFERROR(INDEX(rngData,MATCH($B10,rngYear,0),MATCH(OFFSET(D10,-$A10,0),rngColumnNames,0)),"")</f>
        <v>1380.938866</v>
      </c>
      <c r="E10" s="11">
        <f>IFERROR(INDEX(rngData,MATCH($B10,rngYear,0),MATCH(OFFSET(E10,-$A10,0),rngColumnNames,0)),"")</f>
        <v>1435.554054</v>
      </c>
      <c r="F10" s="11">
        <f t="shared" si="0"/>
        <v>54.615187999999989</v>
      </c>
    </row>
    <row r="11">
      <c r="A11" s="9">
        <f t="shared" si="1"/>
        <v>8</v>
      </c>
      <c r="B11" s="10">
        <f>IF(INDEX(rngYear,A11+1)&lt;&gt;0,INDEX(rngYear,A11+1),"")</f>
        <v>1987</v>
      </c>
      <c r="C11" s="11">
        <f>IFERROR(INDEX(rngData,MATCH($B11,rngYear,0),MATCH(OFFSET(C11,-$A11,0),rngColumnNames,0)),"")</f>
        <v>1383.142063</v>
      </c>
      <c r="D11" s="11">
        <f>IFERROR(INDEX(rngData,MATCH($B11,rngYear,0),MATCH(OFFSET(D11,-$A11,0),rngColumnNames,0)),"")</f>
        <v>1354.882091</v>
      </c>
      <c r="E11" s="11">
        <f>IFERROR(INDEX(rngData,MATCH($B11,rngYear,0),MATCH(OFFSET(E11,-$A11,0),rngColumnNames,0)),"")</f>
        <v>1407.008857</v>
      </c>
      <c r="F11" s="11">
        <f t="shared" si="0"/>
        <v>52.126766000000089</v>
      </c>
    </row>
    <row r="12">
      <c r="A12" s="9">
        <f t="shared" si="1"/>
        <v>9</v>
      </c>
      <c r="B12" s="10">
        <f>IF(INDEX(rngYear,A12+1)&lt;&gt;0,INDEX(rngYear,A12+1),"")</f>
        <v>1988</v>
      </c>
      <c r="C12" s="11">
        <f>IFERROR(INDEX(rngData,MATCH($B12,rngYear,0),MATCH(OFFSET(C12,-$A12,0),rngColumnNames,0)),"")</f>
        <v>1319.396375</v>
      </c>
      <c r="D12" s="11">
        <f>IFERROR(INDEX(rngData,MATCH($B12,rngYear,0),MATCH(OFFSET(D12,-$A12,0),rngColumnNames,0)),"")</f>
        <v>1293.341572</v>
      </c>
      <c r="E12" s="11">
        <f>IFERROR(INDEX(rngData,MATCH($B12,rngYear,0),MATCH(OFFSET(E12,-$A12,0),rngColumnNames,0)),"")</f>
        <v>1342.439976</v>
      </c>
      <c r="F12" s="11">
        <f t="shared" si="0"/>
        <v>49.098403999999846</v>
      </c>
    </row>
    <row r="13">
      <c r="A13" s="9">
        <f t="shared" si="1"/>
        <v>10</v>
      </c>
      <c r="B13" s="10">
        <f>IF(INDEX(rngYear,A13+1)&lt;&gt;0,INDEX(rngYear,A13+1),"")</f>
        <v>1989</v>
      </c>
      <c r="C13" s="11">
        <f>IFERROR(INDEX(rngData,MATCH($B13,rngYear,0),MATCH(OFFSET(C13,-$A13,0),rngColumnNames,0)),"")</f>
        <v>1227.767375</v>
      </c>
      <c r="D13" s="11">
        <f>IFERROR(INDEX(rngData,MATCH($B13,rngYear,0),MATCH(OFFSET(D13,-$A13,0),rngColumnNames,0)),"")</f>
        <v>1206.111733</v>
      </c>
      <c r="E13" s="11">
        <f>IFERROR(INDEX(rngData,MATCH($B13,rngYear,0),MATCH(OFFSET(E13,-$A13,0),rngColumnNames,0)),"")</f>
        <v>1250.704035</v>
      </c>
      <c r="F13" s="11">
        <f t="shared" si="0"/>
        <v>44.592302000000018</v>
      </c>
    </row>
    <row r="14">
      <c r="A14" s="9">
        <f t="shared" si="1"/>
        <v>11</v>
      </c>
      <c r="B14" s="10">
        <f>IF(INDEX(rngYear,A14+1)&lt;&gt;0,INDEX(rngYear,A14+1),"")</f>
        <v>1990</v>
      </c>
      <c r="C14" s="11">
        <f>IFERROR(INDEX(rngData,MATCH($B14,rngYear,0),MATCH(OFFSET(C14,-$A14,0),rngColumnNames,0)),"")</f>
        <v>1117.934758</v>
      </c>
      <c r="D14" s="11">
        <f>IFERROR(INDEX(rngData,MATCH($B14,rngYear,0),MATCH(OFFSET(D14,-$A14,0),rngColumnNames,0)),"")</f>
        <v>1097.766928</v>
      </c>
      <c r="E14" s="11">
        <f>IFERROR(INDEX(rngData,MATCH($B14,rngYear,0),MATCH(OFFSET(E14,-$A14,0),rngColumnNames,0)),"")</f>
        <v>1143.333887</v>
      </c>
      <c r="F14" s="11">
        <f t="shared" si="0"/>
        <v>45.566959</v>
      </c>
    </row>
    <row r="15">
      <c r="A15" s="9">
        <f t="shared" si="1"/>
        <v>12</v>
      </c>
      <c r="B15" s="10">
        <f>IF(INDEX(rngYear,A15+1)&lt;&gt;0,INDEX(rngYear,A15+1),"")</f>
        <v>1991</v>
      </c>
      <c r="C15" s="11">
        <f>IFERROR(INDEX(rngData,MATCH($B15,rngYear,0),MATCH(OFFSET(C15,-$A15,0),rngColumnNames,0)),"")</f>
        <v>999.578218</v>
      </c>
      <c r="D15" s="11">
        <f>IFERROR(INDEX(rngData,MATCH($B15,rngYear,0),MATCH(OFFSET(D15,-$A15,0),rngColumnNames,0)),"")</f>
        <v>973.584274</v>
      </c>
      <c r="E15" s="11">
        <f>IFERROR(INDEX(rngData,MATCH($B15,rngYear,0),MATCH(OFFSET(E15,-$A15,0),rngColumnNames,0)),"")</f>
        <v>1027.524014</v>
      </c>
      <c r="F15" s="11">
        <f t="shared" si="0"/>
        <v>53.939740000000029</v>
      </c>
    </row>
    <row r="16">
      <c r="A16" s="9">
        <f t="shared" si="1"/>
        <v>13</v>
      </c>
      <c r="B16" s="10">
        <f>IF(INDEX(rngYear,A16+1)&lt;&gt;0,INDEX(rngYear,A16+1),"")</f>
        <v>1992</v>
      </c>
      <c r="C16" s="11">
        <f>IFERROR(INDEX(rngData,MATCH($B16,rngYear,0),MATCH(OFFSET(C16,-$A16,0),rngColumnNames,0)),"")</f>
        <v>882.377451</v>
      </c>
      <c r="D16" s="11">
        <f>IFERROR(INDEX(rngData,MATCH($B16,rngYear,0),MATCH(OFFSET(D16,-$A16,0),rngColumnNames,0)),"")</f>
        <v>852.206335</v>
      </c>
      <c r="E16" s="11">
        <f>IFERROR(INDEX(rngData,MATCH($B16,rngYear,0),MATCH(OFFSET(E16,-$A16,0),rngColumnNames,0)),"")</f>
        <v>911.821224</v>
      </c>
      <c r="F16" s="11">
        <f t="shared" si="0"/>
        <v>59.614889000000062</v>
      </c>
    </row>
    <row r="17">
      <c r="A17" s="9">
        <f t="shared" si="1"/>
        <v>14</v>
      </c>
      <c r="B17" s="10">
        <f>IF(INDEX(rngYear,A17+1)&lt;&gt;0,INDEX(rngYear,A17+1),"")</f>
        <v>1993</v>
      </c>
      <c r="C17" s="11">
        <f>IFERROR(INDEX(rngData,MATCH($B17,rngYear,0),MATCH(OFFSET(C17,-$A17,0),rngColumnNames,0)),"")</f>
        <v>776.012151</v>
      </c>
      <c r="D17" s="11">
        <f>IFERROR(INDEX(rngData,MATCH($B17,rngYear,0),MATCH(OFFSET(D17,-$A17,0),rngColumnNames,0)),"")</f>
        <v>740.840167</v>
      </c>
      <c r="E17" s="11">
        <f>IFERROR(INDEX(rngData,MATCH($B17,rngYear,0),MATCH(OFFSET(E17,-$A17,0),rngColumnNames,0)),"")</f>
        <v>806.062795</v>
      </c>
      <c r="F17" s="11">
        <f t="shared" si="0"/>
        <v>65.2226280000001</v>
      </c>
    </row>
    <row r="18">
      <c r="A18" s="9">
        <f t="shared" si="1"/>
        <v>15</v>
      </c>
      <c r="B18" s="10">
        <f>IF(INDEX(rngYear,A18+1)&lt;&gt;0,INDEX(rngYear,A18+1),"")</f>
        <v>1994</v>
      </c>
      <c r="C18" s="11">
        <f>IFERROR(INDEX(rngData,MATCH($B18,rngYear,0),MATCH(OFFSET(C18,-$A18,0),rngColumnNames,0)),"")</f>
        <v>690.057927</v>
      </c>
      <c r="D18" s="11">
        <f>IFERROR(INDEX(rngData,MATCH($B18,rngYear,0),MATCH(OFFSET(D18,-$A18,0),rngColumnNames,0)),"")</f>
        <v>652.051724</v>
      </c>
      <c r="E18" s="11">
        <f>IFERROR(INDEX(rngData,MATCH($B18,rngYear,0),MATCH(OFFSET(E18,-$A18,0),rngColumnNames,0)),"")</f>
        <v>722.06282</v>
      </c>
      <c r="F18" s="11">
        <f t="shared" si="0"/>
        <v>70.011095999999952</v>
      </c>
    </row>
    <row r="19">
      <c r="A19" s="9">
        <f t="shared" si="1"/>
        <v>16</v>
      </c>
      <c r="B19" s="10">
        <f>IF(INDEX(rngYear,A19+1)&lt;&gt;0,INDEX(rngYear,A19+1),"")</f>
        <v>1995</v>
      </c>
      <c r="C19" s="11">
        <f>IFERROR(INDEX(rngData,MATCH($B19,rngYear,0),MATCH(OFFSET(C19,-$A19,0),rngColumnNames,0)),"")</f>
        <v>630.544809</v>
      </c>
      <c r="D19" s="11">
        <f>IFERROR(INDEX(rngData,MATCH($B19,rngYear,0),MATCH(OFFSET(D19,-$A19,0),rngColumnNames,0)),"")</f>
        <v>592.156014</v>
      </c>
      <c r="E19" s="11">
        <f>IFERROR(INDEX(rngData,MATCH($B19,rngYear,0),MATCH(OFFSET(E19,-$A19,0),rngColumnNames,0)),"")</f>
        <v>665.379759</v>
      </c>
      <c r="F19" s="11">
        <f t="shared" si="0"/>
        <v>73.223745000000008</v>
      </c>
    </row>
    <row r="20">
      <c r="A20" s="9">
        <f t="shared" si="1"/>
        <v>17</v>
      </c>
      <c r="B20" s="10">
        <f>IF(INDEX(rngYear,A20+1)&lt;&gt;0,INDEX(rngYear,A20+1),"")</f>
        <v>1996</v>
      </c>
      <c r="C20" s="11">
        <f>IFERROR(INDEX(rngData,MATCH($B20,rngYear,0),MATCH(OFFSET(C20,-$A20,0),rngColumnNames,0)),"")</f>
        <v>596.144999</v>
      </c>
      <c r="D20" s="11">
        <f>IFERROR(INDEX(rngData,MATCH($B20,rngYear,0),MATCH(OFFSET(D20,-$A20,0),rngColumnNames,0)),"")</f>
        <v>559.617279</v>
      </c>
      <c r="E20" s="11">
        <f>IFERROR(INDEX(rngData,MATCH($B20,rngYear,0),MATCH(OFFSET(E20,-$A20,0),rngColumnNames,0)),"")</f>
        <v>632.345057</v>
      </c>
      <c r="F20" s="11">
        <f t="shared" si="0"/>
        <v>72.727777999999944</v>
      </c>
    </row>
    <row r="21">
      <c r="A21" s="9">
        <f t="shared" si="1"/>
        <v>18</v>
      </c>
      <c r="B21" s="10">
        <f>IF(INDEX(rngYear,A21+1)&lt;&gt;0,INDEX(rngYear,A21+1),"")</f>
        <v>1997</v>
      </c>
      <c r="C21" s="11">
        <f>IFERROR(INDEX(rngData,MATCH($B21,rngYear,0),MATCH(OFFSET(C21,-$A21,0),rngColumnNames,0)),"")</f>
        <v>583.897768</v>
      </c>
      <c r="D21" s="11">
        <f>IFERROR(INDEX(rngData,MATCH($B21,rngYear,0),MATCH(OFFSET(D21,-$A21,0),rngColumnNames,0)),"")</f>
        <v>551.157401</v>
      </c>
      <c r="E21" s="11">
        <f>IFERROR(INDEX(rngData,MATCH($B21,rngYear,0),MATCH(OFFSET(E21,-$A21,0),rngColumnNames,0)),"")</f>
        <v>620.17402</v>
      </c>
      <c r="F21" s="11">
        <f t="shared" si="0"/>
        <v>69.016618999999992</v>
      </c>
    </row>
    <row r="22">
      <c r="A22" s="9">
        <f t="shared" si="1"/>
        <v>19</v>
      </c>
      <c r="B22" s="10">
        <f>IF(INDEX(rngYear,A22+1)&lt;&gt;0,INDEX(rngYear,A22+1),"")</f>
        <v>1998</v>
      </c>
      <c r="C22" s="11">
        <f>IFERROR(INDEX(rngData,MATCH($B22,rngYear,0),MATCH(OFFSET(C22,-$A22,0),rngColumnNames,0)),"")</f>
        <v>590.83589</v>
      </c>
      <c r="D22" s="11">
        <f>IFERROR(INDEX(rngData,MATCH($B22,rngYear,0),MATCH(OFFSET(D22,-$A22,0),rngColumnNames,0)),"")</f>
        <v>563.491334</v>
      </c>
      <c r="E22" s="11">
        <f>IFERROR(INDEX(rngData,MATCH($B22,rngYear,0),MATCH(OFFSET(E22,-$A22,0),rngColumnNames,0)),"")</f>
        <v>624.502251</v>
      </c>
      <c r="F22" s="11">
        <f t="shared" si="0"/>
        <v>61.010916999999949</v>
      </c>
    </row>
    <row r="23">
      <c r="A23" s="9">
        <f t="shared" si="1"/>
        <v>20</v>
      </c>
      <c r="B23" s="10">
        <f>IF(INDEX(rngYear,A23+1)&lt;&gt;0,INDEX(rngYear,A23+1),"")</f>
        <v>1999</v>
      </c>
      <c r="C23" s="11">
        <f>IFERROR(INDEX(rngData,MATCH($B23,rngYear,0),MATCH(OFFSET(C23,-$A23,0),rngColumnNames,0)),"")</f>
        <v>613.992135</v>
      </c>
      <c r="D23" s="11">
        <f>IFERROR(INDEX(rngData,MATCH($B23,rngYear,0),MATCH(OFFSET(D23,-$A23,0),rngColumnNames,0)),"")</f>
        <v>589.891945</v>
      </c>
      <c r="E23" s="11">
        <f>IFERROR(INDEX(rngData,MATCH($B23,rngYear,0),MATCH(OFFSET(E23,-$A23,0),rngColumnNames,0)),"")</f>
        <v>643.167481</v>
      </c>
      <c r="F23" s="11">
        <f t="shared" si="0"/>
        <v>53.275535999999988</v>
      </c>
    </row>
    <row r="24">
      <c r="A24" s="9">
        <f t="shared" si="1"/>
        <v>21</v>
      </c>
      <c r="B24" s="10">
        <f>IF(INDEX(rngYear,A24+1)&lt;&gt;0,INDEX(rngYear,A24+1),"")</f>
        <v>2000</v>
      </c>
      <c r="C24" s="11">
        <f>IFERROR(INDEX(rngData,MATCH($B24,rngYear,0),MATCH(OFFSET(C24,-$A24,0),rngColumnNames,0)),"")</f>
        <v>650.399277</v>
      </c>
      <c r="D24" s="11">
        <f>IFERROR(INDEX(rngData,MATCH($B24,rngYear,0),MATCH(OFFSET(D24,-$A24,0),rngColumnNames,0)),"")</f>
        <v>628.955127</v>
      </c>
      <c r="E24" s="11">
        <f>IFERROR(INDEX(rngData,MATCH($B24,rngYear,0),MATCH(OFFSET(E24,-$A24,0),rngColumnNames,0)),"")</f>
        <v>676.656444</v>
      </c>
      <c r="F24" s="11">
        <f t="shared" si="0"/>
        <v>47.701317000000017</v>
      </c>
    </row>
    <row r="25">
      <c r="A25" s="9">
        <f t="shared" si="1"/>
        <v>22</v>
      </c>
      <c r="B25" s="10">
        <f>IF(INDEX(rngYear,A25+1)&lt;&gt;0,INDEX(rngYear,A25+1),"")</f>
        <v>2001</v>
      </c>
      <c r="C25" s="11">
        <f>IFERROR(INDEX(rngData,MATCH($B25,rngYear,0),MATCH(OFFSET(C25,-$A25,0),rngColumnNames,0)),"")</f>
        <v>697.090087</v>
      </c>
      <c r="D25" s="11">
        <f>IFERROR(INDEX(rngData,MATCH($B25,rngYear,0),MATCH(OFFSET(D25,-$A25,0),rngColumnNames,0)),"")</f>
        <v>675.269858</v>
      </c>
      <c r="E25" s="11">
        <f>IFERROR(INDEX(rngData,MATCH($B25,rngYear,0),MATCH(OFFSET(E25,-$A25,0),rngColumnNames,0)),"")</f>
        <v>720.890045</v>
      </c>
      <c r="F25" s="11">
        <f t="shared" si="0"/>
        <v>45.620186999999987</v>
      </c>
    </row>
    <row r="26">
      <c r="A26" s="9">
        <f t="shared" si="1"/>
        <v>23</v>
      </c>
      <c r="B26" s="10">
        <f>IF(INDEX(rngYear,A26+1)&lt;&gt;0,INDEX(rngYear,A26+1),"")</f>
        <v>2002</v>
      </c>
      <c r="C26" s="11">
        <f>IFERROR(INDEX(rngData,MATCH($B26,rngYear,0),MATCH(OFFSET(C26,-$A26,0),rngColumnNames,0)),"")</f>
        <v>751.097338</v>
      </c>
      <c r="D26" s="11">
        <f>IFERROR(INDEX(rngData,MATCH($B26,rngYear,0),MATCH(OFFSET(D26,-$A26,0),rngColumnNames,0)),"")</f>
        <v>728.8806</v>
      </c>
      <c r="E26" s="11">
        <f>IFERROR(INDEX(rngData,MATCH($B26,rngYear,0),MATCH(OFFSET(E26,-$A26,0),rngColumnNames,0)),"")</f>
        <v>773.676353</v>
      </c>
      <c r="F26" s="11">
        <f t="shared" si="0"/>
        <v>44.795752999999991</v>
      </c>
    </row>
    <row r="27">
      <c r="A27" s="9">
        <f t="shared" si="1"/>
        <v>24</v>
      </c>
      <c r="B27" s="10">
        <f>IF(INDEX(rngYear,A27+1)&lt;&gt;0,INDEX(rngYear,A27+1),"")</f>
        <v>2003</v>
      </c>
      <c r="C27" s="11">
        <f>IFERROR(INDEX(rngData,MATCH($B27,rngYear,0),MATCH(OFFSET(C27,-$A27,0),rngColumnNames,0)),"")</f>
        <v>809.453801</v>
      </c>
      <c r="D27" s="11">
        <f>IFERROR(INDEX(rngData,MATCH($B27,rngYear,0),MATCH(OFFSET(D27,-$A27,0),rngColumnNames,0)),"")</f>
        <v>784.913492</v>
      </c>
      <c r="E27" s="11">
        <f>IFERROR(INDEX(rngData,MATCH($B27,rngYear,0),MATCH(OFFSET(E27,-$A27,0),rngColumnNames,0)),"")</f>
        <v>832.182986</v>
      </c>
      <c r="F27" s="11">
        <f t="shared" si="0"/>
        <v>47.269494000000009</v>
      </c>
    </row>
    <row r="28">
      <c r="A28" s="9">
        <f t="shared" si="1"/>
        <v>25</v>
      </c>
      <c r="B28" s="10">
        <f>IF(INDEX(rngYear,A28+1)&lt;&gt;0,INDEX(rngYear,A28+1),"")</f>
        <v>2004</v>
      </c>
      <c r="C28" s="11">
        <f>IFERROR(INDEX(rngData,MATCH($B28,rngYear,0),MATCH(OFFSET(C28,-$A28,0),rngColumnNames,0)),"")</f>
        <v>869.19225</v>
      </c>
      <c r="D28" s="11">
        <f>IFERROR(INDEX(rngData,MATCH($B28,rngYear,0),MATCH(OFFSET(D28,-$A28,0),rngColumnNames,0)),"")</f>
        <v>842.323023</v>
      </c>
      <c r="E28" s="11">
        <f>IFERROR(INDEX(rngData,MATCH($B28,rngYear,0),MATCH(OFFSET(E28,-$A28,0),rngColumnNames,0)),"")</f>
        <v>892.223365</v>
      </c>
      <c r="F28" s="11">
        <f t="shared" si="0"/>
        <v>49.90034199999991</v>
      </c>
    </row>
    <row r="29">
      <c r="A29" s="9">
        <f t="shared" si="1"/>
        <v>26</v>
      </c>
      <c r="B29" s="10">
        <f>IF(INDEX(rngYear,A29+1)&lt;&gt;0,INDEX(rngYear,A29+1),"")</f>
        <v>2005</v>
      </c>
      <c r="C29" s="11">
        <f>IFERROR(INDEX(rngData,MATCH($B29,rngYear,0),MATCH(OFFSET(C29,-$A29,0),rngColumnNames,0)),"")</f>
        <v>927.345454</v>
      </c>
      <c r="D29" s="11">
        <f>IFERROR(INDEX(rngData,MATCH($B29,rngYear,0),MATCH(OFFSET(D29,-$A29,0),rngColumnNames,0)),"")</f>
        <v>898.893799</v>
      </c>
      <c r="E29" s="11">
        <f>IFERROR(INDEX(rngData,MATCH($B29,rngYear,0),MATCH(OFFSET(E29,-$A29,0),rngColumnNames,0)),"")</f>
        <v>952.668597</v>
      </c>
      <c r="F29" s="11">
        <f t="shared" si="0"/>
        <v>53.774798000000033</v>
      </c>
    </row>
    <row r="30">
      <c r="A30" s="9">
        <f t="shared" si="1"/>
        <v>27</v>
      </c>
      <c r="B30" s="10">
        <f>IF(INDEX(rngYear,A30+1)&lt;&gt;0,INDEX(rngYear,A30+1),"")</f>
        <v>2006</v>
      </c>
      <c r="C30" s="11">
        <f>IFERROR(INDEX(rngData,MATCH($B30,rngYear,0),MATCH(OFFSET(C30,-$A30,0),rngColumnNames,0)),"")</f>
        <v>980.946188</v>
      </c>
      <c r="D30" s="11">
        <f>IFERROR(INDEX(rngData,MATCH($B30,rngYear,0),MATCH(OFFSET(D30,-$A30,0),rngColumnNames,0)),"")</f>
        <v>951.634217</v>
      </c>
      <c r="E30" s="11">
        <f>IFERROR(INDEX(rngData,MATCH($B30,rngYear,0),MATCH(OFFSET(E30,-$A30,0),rngColumnNames,0)),"")</f>
        <v>1008.168768</v>
      </c>
      <c r="F30" s="11">
        <f t="shared" si="0"/>
        <v>56.534550999999965</v>
      </c>
    </row>
    <row r="31">
      <c r="A31" s="9">
        <f t="shared" si="1"/>
        <v>28</v>
      </c>
      <c r="B31" s="10">
        <f>IF(INDEX(rngYear,A31+1)&lt;&gt;0,INDEX(rngYear,A31+1),"")</f>
        <v>2007</v>
      </c>
      <c r="C31" s="11">
        <f>IFERROR(INDEX(rngData,MATCH($B31,rngYear,0),MATCH(OFFSET(C31,-$A31,0),rngColumnNames,0)),"")</f>
        <v>1027.027223</v>
      </c>
      <c r="D31" s="11">
        <f>IFERROR(INDEX(rngData,MATCH($B31,rngYear,0),MATCH(OFFSET(D31,-$A31,0),rngColumnNames,0)),"")</f>
        <v>997.700429</v>
      </c>
      <c r="E31" s="11">
        <f>IFERROR(INDEX(rngData,MATCH($B31,rngYear,0),MATCH(OFFSET(E31,-$A31,0),rngColumnNames,0)),"")</f>
        <v>1055.498707</v>
      </c>
      <c r="F31" s="11">
        <f t="shared" si="0"/>
        <v>57.798277999999982</v>
      </c>
    </row>
    <row r="32">
      <c r="A32" s="9">
        <f t="shared" si="1"/>
        <v>29</v>
      </c>
      <c r="B32" s="10">
        <f>IF(INDEX(rngYear,A32+1)&lt;&gt;0,INDEX(rngYear,A32+1),"")</f>
        <v>2008</v>
      </c>
      <c r="C32" s="11">
        <f>IFERROR(INDEX(rngData,MATCH($B32,rngYear,0),MATCH(OFFSET(C32,-$A32,0),rngColumnNames,0)),"")</f>
        <v>1062.622995</v>
      </c>
      <c r="D32" s="11">
        <f>IFERROR(INDEX(rngData,MATCH($B32,rngYear,0),MATCH(OFFSET(D32,-$A32,0),rngColumnNames,0)),"")</f>
        <v>1034.250196</v>
      </c>
      <c r="E32" s="11">
        <f>IFERROR(INDEX(rngData,MATCH($B32,rngYear,0),MATCH(OFFSET(E32,-$A32,0),rngColumnNames,0)),"")</f>
        <v>1091.593943</v>
      </c>
      <c r="F32" s="11">
        <f t="shared" si="0"/>
        <v>57.343747000000121</v>
      </c>
    </row>
    <row r="33">
      <c r="A33" s="9">
        <f t="shared" si="1"/>
        <v>30</v>
      </c>
      <c r="B33" s="10">
        <f>IF(INDEX(rngYear,A33+1)&lt;&gt;0,INDEX(rngYear,A33+1),"")</f>
        <v>2009</v>
      </c>
      <c r="C33" s="11">
        <f>IFERROR(INDEX(rngData,MATCH($B33,rngYear,0),MATCH(OFFSET(C33,-$A33,0),rngColumnNames,0)),"")</f>
        <v>1085.18524</v>
      </c>
      <c r="D33" s="11">
        <f>IFERROR(INDEX(rngData,MATCH($B33,rngYear,0),MATCH(OFFSET(D33,-$A33,0),rngColumnNames,0)),"")</f>
        <v>1058.844735</v>
      </c>
      <c r="E33" s="11">
        <f>IFERROR(INDEX(rngData,MATCH($B33,rngYear,0),MATCH(OFFSET(E33,-$A33,0),rngColumnNames,0)),"")</f>
        <v>1113.820026</v>
      </c>
      <c r="F33" s="11">
        <f t="shared" si="0"/>
        <v>54.9752910000002</v>
      </c>
    </row>
    <row r="34">
      <c r="A34" s="9">
        <f t="shared" si="1"/>
        <v>31</v>
      </c>
      <c r="B34" s="10">
        <f>IF(INDEX(rngYear,A34+1)&lt;&gt;0,INDEX(rngYear,A34+1),"")</f>
        <v>2010</v>
      </c>
      <c r="C34" s="11">
        <f>IFERROR(INDEX(rngData,MATCH($B34,rngYear,0),MATCH(OFFSET(C34,-$A34,0),rngColumnNames,0)),"")</f>
        <v>1094.046067</v>
      </c>
      <c r="D34" s="11">
        <f>IFERROR(INDEX(rngData,MATCH($B34,rngYear,0),MATCH(OFFSET(D34,-$A34,0),rngColumnNames,0)),"")</f>
        <v>1067.590814</v>
      </c>
      <c r="E34" s="11">
        <f>IFERROR(INDEX(rngData,MATCH($B34,rngYear,0),MATCH(OFFSET(E34,-$A34,0),rngColumnNames,0)),"")</f>
        <v>1121.48018</v>
      </c>
      <c r="F34" s="11">
        <f t="shared" si="0"/>
        <v>53.889366000000109</v>
      </c>
    </row>
    <row r="35">
      <c r="A35" s="9">
        <f t="shared" si="1"/>
        <v>32</v>
      </c>
      <c r="B35" s="10">
        <f>IF(INDEX(rngYear,A35+1)&lt;&gt;0,INDEX(rngYear,A35+1),"")</f>
        <v>2011</v>
      </c>
      <c r="C35" s="11">
        <f>IFERROR(INDEX(rngData,MATCH($B35,rngYear,0),MATCH(OFFSET(C35,-$A35,0),rngColumnNames,0)),"")</f>
        <v>1089.443682</v>
      </c>
      <c r="D35" s="11">
        <f>IFERROR(INDEX(rngData,MATCH($B35,rngYear,0),MATCH(OFFSET(D35,-$A35,0),rngColumnNames,0)),"")</f>
        <v>1062.714056</v>
      </c>
      <c r="E35" s="11">
        <f>IFERROR(INDEX(rngData,MATCH($B35,rngYear,0),MATCH(OFFSET(E35,-$A35,0),rngColumnNames,0)),"")</f>
        <v>1114.811344</v>
      </c>
      <c r="F35" s="11">
        <f t="shared" si="0"/>
        <v>52.097287999999935</v>
      </c>
    </row>
    <row r="36">
      <c r="A36" s="9">
        <f t="shared" si="1"/>
        <v>33</v>
      </c>
      <c r="B36" s="10">
        <f>IF(INDEX(rngYear,A36+1)&lt;&gt;0,INDEX(rngYear,A36+1),"")</f>
        <v>2012</v>
      </c>
      <c r="C36" s="11">
        <f>IFERROR(INDEX(rngData,MATCH($B36,rngYear,0),MATCH(OFFSET(C36,-$A36,0),rngColumnNames,0)),"")</f>
        <v>1071.642893</v>
      </c>
      <c r="D36" s="11">
        <f>IFERROR(INDEX(rngData,MATCH($B36,rngYear,0),MATCH(OFFSET(D36,-$A36,0),rngColumnNames,0)),"")</f>
        <v>1045.944484</v>
      </c>
      <c r="E36" s="11">
        <f>IFERROR(INDEX(rngData,MATCH($B36,rngYear,0),MATCH(OFFSET(E36,-$A36,0),rngColumnNames,0)),"")</f>
        <v>1094.077868</v>
      </c>
      <c r="F36" s="11">
        <f ref="F36:F63" t="shared" si="2">IFERROR(E36-D36,"")</f>
        <v>48.133383999999978</v>
      </c>
    </row>
    <row r="37">
      <c r="A37" s="9">
        <f ref="A37:A63" t="shared" si="3">A36+1</f>
        <v>34</v>
      </c>
      <c r="B37" s="10">
        <f>IF(INDEX(rngYear,A37+1)&lt;&gt;0,INDEX(rngYear,A37+1),"")</f>
        <v>2013</v>
      </c>
      <c r="C37" s="11">
        <f>IFERROR(INDEX(rngData,MATCH($B37,rngYear,0),MATCH(OFFSET(C37,-$A37,0),rngColumnNames,0)),"")</f>
        <v>1040.908508</v>
      </c>
      <c r="D37" s="11">
        <f>IFERROR(INDEX(rngData,MATCH($B37,rngYear,0),MATCH(OFFSET(D37,-$A37,0),rngColumnNames,0)),"")</f>
        <v>1015.338729</v>
      </c>
      <c r="E37" s="11">
        <f>IFERROR(INDEX(rngData,MATCH($B37,rngYear,0),MATCH(OFFSET(E37,-$A37,0),rngColumnNames,0)),"")</f>
        <v>1066.719637</v>
      </c>
      <c r="F37" s="11">
        <f t="shared" si="2"/>
        <v>51.380907999999977</v>
      </c>
    </row>
    <row r="38">
      <c r="A38" s="9">
        <f t="shared" si="3"/>
        <v>35</v>
      </c>
      <c r="B38" s="10">
        <f>IF(INDEX(rngYear,A38+1)&lt;&gt;0,INDEX(rngYear,A38+1),"")</f>
        <v>2014</v>
      </c>
      <c r="C38" s="11">
        <f>IFERROR(INDEX(rngData,MATCH($B38,rngYear,0),MATCH(OFFSET(C38,-$A38,0),rngColumnNames,0)),"")</f>
        <v>997.505333</v>
      </c>
      <c r="D38" s="11">
        <f>IFERROR(INDEX(rngData,MATCH($B38,rngYear,0),MATCH(OFFSET(D38,-$A38,0),rngColumnNames,0)),"")</f>
        <v>971.79329</v>
      </c>
      <c r="E38" s="11">
        <f>IFERROR(INDEX(rngData,MATCH($B38,rngYear,0),MATCH(OFFSET(E38,-$A38,0),rngColumnNames,0)),"")</f>
        <v>1019.203638</v>
      </c>
      <c r="F38" s="11">
        <f t="shared" si="2"/>
        <v>47.410348</v>
      </c>
    </row>
    <row r="39">
      <c r="A39" s="9">
        <f t="shared" si="3"/>
        <v>36</v>
      </c>
      <c r="B39" s="10">
        <f>IF(INDEX(rngYear,A39+1)&lt;&gt;0,INDEX(rngYear,A39+1),"")</f>
        <v>2015</v>
      </c>
      <c r="C39" s="11">
        <f>IFERROR(INDEX(rngData,MATCH($B39,rngYear,0),MATCH(OFFSET(C39,-$A39,0),rngColumnNames,0)),"")</f>
        <v>941.698178</v>
      </c>
      <c r="D39" s="11">
        <f>IFERROR(INDEX(rngData,MATCH($B39,rngYear,0),MATCH(OFFSET(D39,-$A39,0),rngColumnNames,0)),"")</f>
        <v>912.124642</v>
      </c>
      <c r="E39" s="11">
        <f>IFERROR(INDEX(rngData,MATCH($B39,rngYear,0),MATCH(OFFSET(E39,-$A39,0),rngColumnNames,0)),"")</f>
        <v>970.106473</v>
      </c>
      <c r="F39" s="11">
        <f t="shared" si="2"/>
        <v>57.981831000000057</v>
      </c>
    </row>
    <row r="40">
      <c r="A40" s="9">
        <f t="shared" si="3"/>
        <v>37</v>
      </c>
      <c r="B40" s="10">
        <f>IF(INDEX(rngYear,A40+1)&lt;&gt;0,INDEX(rngYear,A40+1),"")</f>
        <v>2016</v>
      </c>
      <c r="C40" s="11">
        <f>IFERROR(INDEX(rngData,MATCH($B40,rngYear,0),MATCH(OFFSET(C40,-$A40,0),rngColumnNames,0)),"")</f>
        <v>873.751848</v>
      </c>
      <c r="D40" s="11">
        <f>IFERROR(INDEX(rngData,MATCH($B40,rngYear,0),MATCH(OFFSET(D40,-$A40,0),rngColumnNames,0)),"")</f>
        <v>835.317728</v>
      </c>
      <c r="E40" s="11">
        <f>IFERROR(INDEX(rngData,MATCH($B40,rngYear,0),MATCH(OFFSET(E40,-$A40,0),rngColumnNames,0)),"")</f>
        <v>916.854774</v>
      </c>
      <c r="F40" s="11">
        <f t="shared" si="2"/>
        <v>81.537046000000032</v>
      </c>
    </row>
    <row r="41">
      <c r="A41" s="9">
        <f t="shared" si="3"/>
        <v>38</v>
      </c>
      <c r="B41" s="10">
        <f>IF(INDEX(rngYear,A41+1)&lt;&gt;0,INDEX(rngYear,A41+1),"")</f>
        <v>2017</v>
      </c>
      <c r="C41" s="11">
        <f>IFERROR(INDEX(rngData,MATCH($B41,rngYear,0),MATCH(OFFSET(C41,-$A41,0),rngColumnNames,0)),"")</f>
        <v>793.931153</v>
      </c>
      <c r="D41" s="11">
        <f>IFERROR(INDEX(rngData,MATCH($B41,rngYear,0),MATCH(OFFSET(D41,-$A41,0),rngColumnNames,0)),"")</f>
        <v>744.005589</v>
      </c>
      <c r="E41" s="11">
        <f>IFERROR(INDEX(rngData,MATCH($B41,rngYear,0),MATCH(OFFSET(E41,-$A41,0),rngColumnNames,0)),"")</f>
        <v>850.70022</v>
      </c>
      <c r="F41" s="11">
        <f t="shared" si="2"/>
        <v>106.69463099999996</v>
      </c>
    </row>
    <row r="42">
      <c r="A42" s="9">
        <f t="shared" si="3"/>
        <v>39</v>
      </c>
      <c r="B42" s="10">
        <f>IF(INDEX(rngYear,A42+1)&lt;&gt;0,INDEX(rngYear,A42+1),"")</f>
        <v>2018</v>
      </c>
      <c r="C42" s="11">
        <f>IFERROR(INDEX(rngData,MATCH($B42,rngYear,0),MATCH(OFFSET(C42,-$A42,0),rngColumnNames,0)),"")</f>
        <v>702.5009</v>
      </c>
      <c r="D42" s="11">
        <f>IFERROR(INDEX(rngData,MATCH($B42,rngYear,0),MATCH(OFFSET(D42,-$A42,0),rngColumnNames,0)),"")</f>
        <v>637.796726</v>
      </c>
      <c r="E42" s="11">
        <f>IFERROR(INDEX(rngData,MATCH($B42,rngYear,0),MATCH(OFFSET(E42,-$A42,0),rngColumnNames,0)),"")</f>
        <v>773.759902</v>
      </c>
      <c r="F42" s="11">
        <f t="shared" si="2"/>
        <v>135.96317599999998</v>
      </c>
    </row>
    <row r="43">
      <c r="A43" s="9">
        <f t="shared" si="3"/>
        <v>40</v>
      </c>
      <c r="B43" s="10">
        <f>IF(INDEX(rngYear,A43+1)&lt;&gt;0,INDEX(rngYear,A43+1),"")</f>
        <v>2019</v>
      </c>
      <c r="C43" s="11">
        <f>IFERROR(INDEX(rngData,MATCH($B43,rngYear,0),MATCH(OFFSET(C43,-$A43,0),rngColumnNames,0)),"")</f>
        <v>599.725895</v>
      </c>
      <c r="D43" s="11">
        <f>IFERROR(INDEX(rngData,MATCH($B43,rngYear,0),MATCH(OFFSET(D43,-$A43,0),rngColumnNames,0)),"")</f>
        <v>518.738825</v>
      </c>
      <c r="E43" s="11">
        <f>IFERROR(INDEX(rngData,MATCH($B43,rngYear,0),MATCH(OFFSET(E43,-$A43,0),rngColumnNames,0)),"")</f>
        <v>686.398739</v>
      </c>
      <c r="F43" s="11">
        <f t="shared" si="2"/>
        <v>167.65991399999996</v>
      </c>
    </row>
    <row r="44">
      <c r="A44" s="9">
        <f t="shared" si="3"/>
        <v>41</v>
      </c>
      <c r="B44" s="10">
        <f>IF(INDEX(rngYear,A44+1)&lt;&gt;0,INDEX(rngYear,A44+1),"")</f>
        <v>2020</v>
      </c>
      <c r="C44" s="11">
        <f>IFERROR(INDEX(rngData,MATCH($B44,rngYear,0),MATCH(OFFSET(C44,-$A44,0),rngColumnNames,0)),"")</f>
        <v>485.870949</v>
      </c>
      <c r="D44" s="11">
        <f>IFERROR(INDEX(rngData,MATCH($B44,rngYear,0),MATCH(OFFSET(D44,-$A44,0),rngColumnNames,0)),"")</f>
        <v>387.083161</v>
      </c>
      <c r="E44" s="11">
        <f>IFERROR(INDEX(rngData,MATCH($B44,rngYear,0),MATCH(OFFSET(E44,-$A44,0),rngColumnNames,0)),"")</f>
        <v>586.338769</v>
      </c>
      <c r="F44" s="11">
        <f t="shared" si="2"/>
        <v>199.25560799999994</v>
      </c>
    </row>
    <row r="45">
      <c r="A45" s="9">
        <f t="shared" si="3"/>
        <v>42</v>
      </c>
      <c r="B45" s="10">
        <f>IF(INDEX(rngYear,A45+1)&lt;&gt;0,INDEX(rngYear,A45+1),"")</f>
        <v>2021</v>
      </c>
      <c r="C45" s="11">
        <f>IFERROR(INDEX(rngData,MATCH($B45,rngYear,0),MATCH(OFFSET(C45,-$A45,0),rngColumnNames,0)),"")</f>
        <v>361.200866</v>
      </c>
      <c r="D45" s="11">
        <f>IFERROR(INDEX(rngData,MATCH($B45,rngYear,0),MATCH(OFFSET(D45,-$A45,0),rngColumnNames,0)),"")</f>
        <v>243.081011</v>
      </c>
      <c r="E45" s="11">
        <f>IFERROR(INDEX(rngData,MATCH($B45,rngYear,0),MATCH(OFFSET(E45,-$A45,0),rngColumnNames,0)),"")</f>
        <v>476.590176</v>
      </c>
      <c r="F45" s="11">
        <f t="shared" si="2"/>
        <v>233.509165</v>
      </c>
    </row>
    <row r="46">
      <c r="A46" s="9">
        <f t="shared" si="3"/>
        <v>43</v>
      </c>
      <c r="B46" s="10">
        <f>IF(INDEX(rngYear,A46+1)&lt;&gt;0,INDEX(rngYear,A46+1),"")</f>
        <v>2022</v>
      </c>
      <c r="C46" s="11">
        <f>IFERROR(INDEX(rngData,MATCH($B46,rngYear,0),MATCH(OFFSET(C46,-$A46,0),rngColumnNames,0)),"")</f>
        <v>225.980457</v>
      </c>
      <c r="D46" s="11">
        <f>IFERROR(INDEX(rngData,MATCH($B46,rngYear,0),MATCH(OFFSET(D46,-$A46,0),rngColumnNames,0)),"")</f>
        <v>85.637201</v>
      </c>
      <c r="E46" s="11">
        <f>IFERROR(INDEX(rngData,MATCH($B46,rngYear,0),MATCH(OFFSET(E46,-$A46,0),rngColumnNames,0)),"")</f>
        <v>357.448993</v>
      </c>
      <c r="F46" s="11">
        <f t="shared" si="2"/>
        <v>271.81179199999997</v>
      </c>
    </row>
    <row r="47">
      <c r="A47" s="9">
        <f t="shared" si="3"/>
        <v>44</v>
      </c>
      <c r="B47" s="10">
        <f>IF(INDEX(rngYear,A47+1)&lt;&gt;0,INDEX(rngYear,A47+1),"")</f>
      </c>
      <c r="C47" s="11">
        <f>IFERROR(INDEX(rngData,MATCH($B47,rngYear,0),MATCH(OFFSET(C47,-$A47,0),rngColumnNames,0)),"")</f>
      </c>
      <c r="D47" s="11">
        <f>IFERROR(INDEX(rngData,MATCH($B47,rngYear,0),MATCH(OFFSET(D47,-$A47,0),rngColumnNames,0)),"")</f>
      </c>
      <c r="E47" s="11">
        <f>IFERROR(INDEX(rngData,MATCH($B47,rngYear,0),MATCH(OFFSET(E47,-$A47,0),rngColumnNames,0)),"")</f>
      </c>
      <c r="F47" s="11">
        <f t="shared" si="2"/>
      </c>
    </row>
    <row r="48">
      <c r="A48" s="9">
        <f t="shared" si="3"/>
        <v>45</v>
      </c>
      <c r="B48" s="10">
        <f>IF(INDEX(rngYear,A48+1)&lt;&gt;0,INDEX(rngYear,A48+1),"")</f>
      </c>
      <c r="C48" s="11">
        <f>IFERROR(INDEX(rngData,MATCH($B48,rngYear,0),MATCH(OFFSET(C48,-$A48,0),rngColumnNames,0)),"")</f>
      </c>
      <c r="D48" s="11">
        <f>IFERROR(INDEX(rngData,MATCH($B48,rngYear,0),MATCH(OFFSET(D48,-$A48,0),rngColumnNames,0)),"")</f>
      </c>
      <c r="E48" s="11">
        <f>IFERROR(INDEX(rngData,MATCH($B48,rngYear,0),MATCH(OFFSET(E48,-$A48,0),rngColumnNames,0)),"")</f>
      </c>
      <c r="F48" s="11">
        <f t="shared" si="2"/>
      </c>
    </row>
    <row r="49">
      <c r="A49" s="9">
        <f t="shared" si="3"/>
        <v>46</v>
      </c>
      <c r="B49" s="10">
        <f>IF(INDEX(rngYear,A49+1)&lt;&gt;0,INDEX(rngYear,A49+1),"")</f>
      </c>
      <c r="C49" s="11">
        <f>IFERROR(INDEX(rngData,MATCH($B49,rngYear,0),MATCH(OFFSET(C49,-$A49,0),rngColumnNames,0)),"")</f>
      </c>
      <c r="D49" s="11">
        <f>IFERROR(INDEX(rngData,MATCH($B49,rngYear,0),MATCH(OFFSET(D49,-$A49,0),rngColumnNames,0)),"")</f>
      </c>
      <c r="E49" s="11">
        <f>IFERROR(INDEX(rngData,MATCH($B49,rngYear,0),MATCH(OFFSET(E49,-$A49,0),rngColumnNames,0)),"")</f>
      </c>
      <c r="F49" s="11">
        <f t="shared" si="2"/>
      </c>
    </row>
    <row r="50">
      <c r="A50" s="9">
        <f t="shared" si="3"/>
        <v>47</v>
      </c>
      <c r="B50" s="10">
        <f>IF(INDEX(rngYear,A50+1)&lt;&gt;0,INDEX(rngYear,A50+1),"")</f>
      </c>
      <c r="C50" s="11">
        <f>IFERROR(INDEX(rngData,MATCH($B50,rngYear,0),MATCH(OFFSET(C50,-$A50,0),rngColumnNames,0)),"")</f>
      </c>
      <c r="D50" s="11">
        <f>IFERROR(INDEX(rngData,MATCH($B50,rngYear,0),MATCH(OFFSET(D50,-$A50,0),rngColumnNames,0)),"")</f>
      </c>
      <c r="E50" s="11">
        <f>IFERROR(INDEX(rngData,MATCH($B50,rngYear,0),MATCH(OFFSET(E50,-$A50,0),rngColumnNames,0)),"")</f>
      </c>
      <c r="F50" s="11">
        <f t="shared" si="2"/>
      </c>
    </row>
    <row r="51">
      <c r="A51" s="9">
        <f t="shared" si="3"/>
        <v>48</v>
      </c>
      <c r="B51" s="10">
        <f>IF(INDEX(rngYear,A51+1)&lt;&gt;0,INDEX(rngYear,A51+1),"")</f>
      </c>
      <c r="C51" s="11">
        <f>IFERROR(INDEX(rngData,MATCH($B51,rngYear,0),MATCH(OFFSET(C51,-$A51,0),rngColumnNames,0)),"")</f>
      </c>
      <c r="D51" s="11">
        <f>IFERROR(INDEX(rngData,MATCH($B51,rngYear,0),MATCH(OFFSET(D51,-$A51,0),rngColumnNames,0)),"")</f>
      </c>
      <c r="E51" s="11">
        <f>IFERROR(INDEX(rngData,MATCH($B51,rngYear,0),MATCH(OFFSET(E51,-$A51,0),rngColumnNames,0)),"")</f>
      </c>
      <c r="F51" s="11">
        <f t="shared" si="2"/>
      </c>
    </row>
    <row r="52">
      <c r="A52" s="9">
        <f t="shared" si="3"/>
        <v>49</v>
      </c>
      <c r="B52" s="10">
        <f>IF(INDEX(rngYear,A52+1)&lt;&gt;0,INDEX(rngYear,A52+1),"")</f>
      </c>
      <c r="C52" s="11">
        <f>IFERROR(INDEX(rngData,MATCH($B52,rngYear,0),MATCH(OFFSET(C52,-$A52,0),rngColumnNames,0)),"")</f>
      </c>
      <c r="D52" s="11">
        <f>IFERROR(INDEX(rngData,MATCH($B52,rngYear,0),MATCH(OFFSET(D52,-$A52,0),rngColumnNames,0)),"")</f>
      </c>
      <c r="E52" s="11">
        <f>IFERROR(INDEX(rngData,MATCH($B52,rngYear,0),MATCH(OFFSET(E52,-$A52,0),rngColumnNames,0)),"")</f>
      </c>
      <c r="F52" s="11">
        <f t="shared" si="2"/>
      </c>
    </row>
    <row r="53">
      <c r="A53" s="9">
        <f t="shared" si="3"/>
        <v>50</v>
      </c>
      <c r="B53" s="10">
        <f>IF(INDEX(rngYear,A53+1)&lt;&gt;0,INDEX(rngYear,A53+1),"")</f>
      </c>
      <c r="C53" s="11">
        <f>IFERROR(INDEX(rngData,MATCH($B53,rngYear,0),MATCH(OFFSET(C53,-$A53,0),rngColumnNames,0)),"")</f>
      </c>
      <c r="D53" s="11">
        <f>IFERROR(INDEX(rngData,MATCH($B53,rngYear,0),MATCH(OFFSET(D53,-$A53,0),rngColumnNames,0)),"")</f>
      </c>
      <c r="E53" s="11">
        <f>IFERROR(INDEX(rngData,MATCH($B53,rngYear,0),MATCH(OFFSET(E53,-$A53,0),rngColumnNames,0)),"")</f>
      </c>
      <c r="F53" s="11">
        <f t="shared" si="2"/>
      </c>
    </row>
    <row r="54">
      <c r="A54" s="9">
        <f t="shared" si="3"/>
        <v>51</v>
      </c>
      <c r="B54" s="10">
        <f>IF(INDEX(rngYear,A54+1)&lt;&gt;0,INDEX(rngYear,A54+1),"")</f>
      </c>
      <c r="C54" s="11">
        <f>IFERROR(INDEX(rngData,MATCH($B54,rngYear,0),MATCH(OFFSET(C54,-$A54,0),rngColumnNames,0)),"")</f>
      </c>
      <c r="D54" s="11">
        <f>IFERROR(INDEX(rngData,MATCH($B54,rngYear,0),MATCH(OFFSET(D54,-$A54,0),rngColumnNames,0)),"")</f>
      </c>
      <c r="E54" s="11">
        <f>IFERROR(INDEX(rngData,MATCH($B54,rngYear,0),MATCH(OFFSET(E54,-$A54,0),rngColumnNames,0)),"")</f>
      </c>
      <c r="F54" s="11">
        <f t="shared" si="2"/>
      </c>
    </row>
    <row r="55">
      <c r="A55" s="9">
        <f t="shared" si="3"/>
        <v>52</v>
      </c>
      <c r="B55" s="10">
        <f>IF(INDEX(rngYear,A55+1)&lt;&gt;0,INDEX(rngYear,A55+1),"")</f>
      </c>
      <c r="C55" s="11">
        <f>IFERROR(INDEX(rngData,MATCH($B55,rngYear,0),MATCH(OFFSET(C55,-$A55,0),rngColumnNames,0)),"")</f>
      </c>
      <c r="D55" s="11">
        <f>IFERROR(INDEX(rngData,MATCH($B55,rngYear,0),MATCH(OFFSET(D55,-$A55,0),rngColumnNames,0)),"")</f>
      </c>
      <c r="E55" s="11">
        <f>IFERROR(INDEX(rngData,MATCH($B55,rngYear,0),MATCH(OFFSET(E55,-$A55,0),rngColumnNames,0)),"")</f>
      </c>
      <c r="F55" s="11">
        <f t="shared" si="2"/>
      </c>
    </row>
    <row r="56">
      <c r="A56" s="9">
        <f t="shared" si="3"/>
        <v>53</v>
      </c>
      <c r="B56" s="10">
        <f>IF(INDEX(rngYear,A56+1)&lt;&gt;0,INDEX(rngYear,A56+1),"")</f>
      </c>
      <c r="C56" s="11">
        <f>IFERROR(INDEX(rngData,MATCH($B56,rngYear,0),MATCH(OFFSET(C56,-$A56,0),rngColumnNames,0)),"")</f>
      </c>
      <c r="D56" s="11">
        <f>IFERROR(INDEX(rngData,MATCH($B56,rngYear,0),MATCH(OFFSET(D56,-$A56,0),rngColumnNames,0)),"")</f>
      </c>
      <c r="E56" s="11">
        <f>IFERROR(INDEX(rngData,MATCH($B56,rngYear,0),MATCH(OFFSET(E56,-$A56,0),rngColumnNames,0)),"")</f>
      </c>
      <c r="F56" s="11">
        <f t="shared" si="2"/>
      </c>
    </row>
    <row r="57">
      <c r="A57" s="9">
        <f t="shared" si="3"/>
        <v>54</v>
      </c>
      <c r="B57" s="10">
        <f>IF(INDEX(rngYear,A57+1)&lt;&gt;0,INDEX(rngYear,A57+1),"")</f>
      </c>
      <c r="C57" s="11">
        <f>IFERROR(INDEX(rngData,MATCH($B57,rngYear,0),MATCH(OFFSET(C57,-$A57,0),rngColumnNames,0)),"")</f>
      </c>
      <c r="D57" s="11">
        <f>IFERROR(INDEX(rngData,MATCH($B57,rngYear,0),MATCH(OFFSET(D57,-$A57,0),rngColumnNames,0)),"")</f>
      </c>
      <c r="E57" s="11">
        <f>IFERROR(INDEX(rngData,MATCH($B57,rngYear,0),MATCH(OFFSET(E57,-$A57,0),rngColumnNames,0)),"")</f>
      </c>
      <c r="F57" s="11">
        <f t="shared" si="2"/>
      </c>
    </row>
    <row r="58">
      <c r="A58" s="9">
        <f t="shared" si="3"/>
        <v>55</v>
      </c>
      <c r="B58" s="10">
        <f>IF(INDEX(rngYear,A58+1)&lt;&gt;0,INDEX(rngYear,A58+1),"")</f>
      </c>
      <c r="C58" s="11">
        <f>IFERROR(INDEX(rngData,MATCH($B58,rngYear,0),MATCH(OFFSET(C58,-$A58,0),rngColumnNames,0)),"")</f>
      </c>
      <c r="D58" s="11">
        <f>IFERROR(INDEX(rngData,MATCH($B58,rngYear,0),MATCH(OFFSET(D58,-$A58,0),rngColumnNames,0)),"")</f>
      </c>
      <c r="E58" s="11">
        <f>IFERROR(INDEX(rngData,MATCH($B58,rngYear,0),MATCH(OFFSET(E58,-$A58,0),rngColumnNames,0)),"")</f>
      </c>
      <c r="F58" s="11">
        <f t="shared" si="2"/>
      </c>
    </row>
    <row r="59">
      <c r="A59" s="9">
        <f t="shared" si="3"/>
        <v>56</v>
      </c>
      <c r="B59" s="10">
        <f>IF(INDEX(rngYear,A59+1)&lt;&gt;0,INDEX(rngYear,A59+1),"")</f>
      </c>
      <c r="C59" s="11">
        <f>IFERROR(INDEX(rngData,MATCH($B59,rngYear,0),MATCH(OFFSET(C59,-$A59,0),rngColumnNames,0)),"")</f>
      </c>
      <c r="D59" s="11">
        <f>IFERROR(INDEX(rngData,MATCH($B59,rngYear,0),MATCH(OFFSET(D59,-$A59,0),rngColumnNames,0)),"")</f>
      </c>
      <c r="E59" s="11">
        <f>IFERROR(INDEX(rngData,MATCH($B59,rngYear,0),MATCH(OFFSET(E59,-$A59,0),rngColumnNames,0)),"")</f>
      </c>
      <c r="F59" s="11">
        <f t="shared" si="2"/>
      </c>
    </row>
    <row r="60">
      <c r="A60" s="9">
        <f t="shared" si="3"/>
        <v>57</v>
      </c>
      <c r="B60" s="10">
        <f>IF(INDEX(rngYear,A60+1)&lt;&gt;0,INDEX(rngYear,A60+1),"")</f>
      </c>
      <c r="C60" s="11">
        <f>IFERROR(INDEX(rngData,MATCH($B60,rngYear,0),MATCH(OFFSET(C60,-$A60,0),rngColumnNames,0)),"")</f>
      </c>
      <c r="D60" s="11">
        <f>IFERROR(INDEX(rngData,MATCH($B60,rngYear,0),MATCH(OFFSET(D60,-$A60,0),rngColumnNames,0)),"")</f>
      </c>
      <c r="E60" s="11">
        <f>IFERROR(INDEX(rngData,MATCH($B60,rngYear,0),MATCH(OFFSET(E60,-$A60,0),rngColumnNames,0)),"")</f>
      </c>
      <c r="F60" s="11">
        <f t="shared" si="2"/>
      </c>
    </row>
    <row r="61">
      <c r="A61" s="9">
        <f t="shared" si="3"/>
        <v>58</v>
      </c>
      <c r="B61" s="10">
        <f>IF(INDEX(rngYear,A61+1)&lt;&gt;0,INDEX(rngYear,A61+1),"")</f>
      </c>
      <c r="C61" s="11">
        <f>IFERROR(INDEX(rngData,MATCH($B61,rngYear,0),MATCH(OFFSET(C61,-$A61,0),rngColumnNames,0)),"")</f>
      </c>
      <c r="D61" s="11">
        <f>IFERROR(INDEX(rngData,MATCH($B61,rngYear,0),MATCH(OFFSET(D61,-$A61,0),rngColumnNames,0)),"")</f>
      </c>
      <c r="E61" s="11">
        <f>IFERROR(INDEX(rngData,MATCH($B61,rngYear,0),MATCH(OFFSET(E61,-$A61,0),rngColumnNames,0)),"")</f>
      </c>
      <c r="F61" s="11">
        <f t="shared" si="2"/>
      </c>
    </row>
    <row r="62">
      <c r="A62" s="9">
        <f t="shared" si="3"/>
        <v>59</v>
      </c>
      <c r="B62" s="10">
        <f>IF(INDEX(rngYear,A62+1)&lt;&gt;0,INDEX(rngYear,A62+1),"")</f>
      </c>
      <c r="C62" s="11">
        <f>IFERROR(INDEX(rngData,MATCH($B62,rngYear,0),MATCH(OFFSET(C62,-$A62,0),rngColumnNames,0)),"")</f>
      </c>
      <c r="D62" s="11">
        <f>IFERROR(INDEX(rngData,MATCH($B62,rngYear,0),MATCH(OFFSET(D62,-$A62,0),rngColumnNames,0)),"")</f>
      </c>
      <c r="E62" s="11">
        <f>IFERROR(INDEX(rngData,MATCH($B62,rngYear,0),MATCH(OFFSET(E62,-$A62,0),rngColumnNames,0)),"")</f>
      </c>
      <c r="F62" s="11">
        <f t="shared" si="2"/>
      </c>
    </row>
    <row r="63">
      <c r="A63" s="9">
        <f t="shared" si="3"/>
        <v>60</v>
      </c>
      <c r="B63" s="10">
        <f>IF(INDEX(rngYear,A63+1)&lt;&gt;0,INDEX(rngYear,A63+1),"")</f>
      </c>
      <c r="C63" s="11">
        <f>IFERROR(INDEX(rngData,MATCH($B63,rngYear,0),MATCH(OFFSET(C63,-$A63,0),rngColumnNames,0)),"")</f>
      </c>
      <c r="D63" s="11">
        <f>IFERROR(INDEX(rngData,MATCH($B63,rngYear,0),MATCH(OFFSET(D63,-$A63,0),rngColumnNames,0)),"")</f>
      </c>
      <c r="E63" s="11">
        <f>IFERROR(INDEX(rngData,MATCH($B63,rngYear,0),MATCH(OFFSET(E63,-$A63,0),rngColumnNames,0)),"")</f>
      </c>
      <c r="F63" s="11">
        <f t="shared" si="2"/>
      </c>
    </row>
    <row r="65" ht="19.5" customHeight="1">
      <c r="A65" s="16" t="s">
        <v>44</v>
      </c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2"/>
      <c r="O65" s="2"/>
      <c r="P65" s="2"/>
      <c r="Q65" s="2"/>
      <c r="R65" s="2"/>
      <c r="S65" s="2"/>
      <c r="T65" s="3"/>
    </row>
    <row r="66" ht="15" customHeight="1">
      <c r="B66" s="4"/>
      <c r="C66" s="5" t="s">
        <v>2</v>
      </c>
      <c r="D66" s="17" t="s">
        <v>3</v>
      </c>
      <c r="E66" s="18"/>
      <c r="F66" s="19"/>
    </row>
    <row r="67" ht="22.5" customHeight="1">
      <c r="A67" s="6" t="s">
        <v>4</v>
      </c>
      <c r="B67" s="7" t="s">
        <v>5</v>
      </c>
      <c r="C67" s="7" t="s">
        <v>45</v>
      </c>
      <c r="D67" s="7" t="s">
        <v>46</v>
      </c>
      <c r="E67" s="7" t="s">
        <v>47</v>
      </c>
      <c r="F67" s="8" t="s">
        <v>3</v>
      </c>
    </row>
    <row r="68">
      <c r="A68" s="9">
        <v>1</v>
      </c>
      <c r="B68" s="10">
        <f>IF(INDEX(rngYear,A68+1)&lt;&gt;0,INDEX(rngYear,A68+1),"")</f>
        <v>1980</v>
      </c>
      <c r="C68" s="11">
        <f>IFERROR(INDEX(rngData,MATCH($B68,rngYear,0),MATCH(OFFSET(C68,-$A68,0),rngColumnNames,0)),"")</f>
        <v>11.567122</v>
      </c>
      <c r="D68" s="11">
        <f>IFERROR(INDEX(rngData,MATCH($B68,rngYear,0),MATCH(OFFSET(D68,-$A68,0),rngColumnNames,0)),"")</f>
        <v>11.567122</v>
      </c>
      <c r="E68" s="11">
        <f>IFERROR(INDEX(rngData,MATCH($B68,rngYear,0),MATCH(OFFSET(E68,-$A68,0),rngColumnNames,0)),"")</f>
        <v>11.567122</v>
      </c>
      <c r="F68" s="11">
        <f ref="F68:F99" t="shared" si="4">IFERROR(E68-D68,"")</f>
        <v>0</v>
      </c>
    </row>
    <row r="69">
      <c r="A69" s="9">
        <f ref="A69:A100" t="shared" si="5">A68+1</f>
        <v>2</v>
      </c>
      <c r="B69" s="10">
        <f>IF(INDEX(rngYear,A69+1)&lt;&gt;0,INDEX(rngYear,A69+1),"")</f>
        <v>1981</v>
      </c>
      <c r="C69" s="11">
        <f>IFERROR(INDEX(rngData,MATCH($B69,rngYear,0),MATCH(OFFSET(C69,-$A69,0),rngColumnNames,0)),"")</f>
        <v>11.567122</v>
      </c>
      <c r="D69" s="11">
        <f>IFERROR(INDEX(rngData,MATCH($B69,rngYear,0),MATCH(OFFSET(D69,-$A69,0),rngColumnNames,0)),"")</f>
        <v>11.567122</v>
      </c>
      <c r="E69" s="11">
        <f>IFERROR(INDEX(rngData,MATCH($B69,rngYear,0),MATCH(OFFSET(E69,-$A69,0),rngColumnNames,0)),"")</f>
        <v>11.567122</v>
      </c>
      <c r="F69" s="11">
        <f t="shared" si="4"/>
        <v>0</v>
      </c>
    </row>
    <row r="70">
      <c r="A70" s="9">
        <f t="shared" si="5"/>
        <v>3</v>
      </c>
      <c r="B70" s="10">
        <f>IF(INDEX(rngYear,A70+1)&lt;&gt;0,INDEX(rngYear,A70+1),"")</f>
        <v>1982</v>
      </c>
      <c r="C70" s="11">
        <f>IFERROR(INDEX(rngData,MATCH($B70,rngYear,0),MATCH(OFFSET(C70,-$A70,0),rngColumnNames,0)),"")</f>
        <v>11.567122</v>
      </c>
      <c r="D70" s="11">
        <f>IFERROR(INDEX(rngData,MATCH($B70,rngYear,0),MATCH(OFFSET(D70,-$A70,0),rngColumnNames,0)),"")</f>
        <v>11.567122</v>
      </c>
      <c r="E70" s="11">
        <f>IFERROR(INDEX(rngData,MATCH($B70,rngYear,0),MATCH(OFFSET(E70,-$A70,0),rngColumnNames,0)),"")</f>
        <v>11.567122</v>
      </c>
      <c r="F70" s="11">
        <f t="shared" si="4"/>
        <v>0</v>
      </c>
    </row>
    <row r="71">
      <c r="A71" s="9">
        <f t="shared" si="5"/>
        <v>4</v>
      </c>
      <c r="B71" s="10">
        <f>IF(INDEX(rngYear,A71+1)&lt;&gt;0,INDEX(rngYear,A71+1),"")</f>
        <v>1983</v>
      </c>
      <c r="C71" s="11">
        <f>IFERROR(INDEX(rngData,MATCH($B71,rngYear,0),MATCH(OFFSET(C71,-$A71,0),rngColumnNames,0)),"")</f>
        <v>11.567122</v>
      </c>
      <c r="D71" s="11">
        <f>IFERROR(INDEX(rngData,MATCH($B71,rngYear,0),MATCH(OFFSET(D71,-$A71,0),rngColumnNames,0)),"")</f>
        <v>11.567122</v>
      </c>
      <c r="E71" s="11">
        <f>IFERROR(INDEX(rngData,MATCH($B71,rngYear,0),MATCH(OFFSET(E71,-$A71,0),rngColumnNames,0)),"")</f>
        <v>11.567122</v>
      </c>
      <c r="F71" s="11">
        <f t="shared" si="4"/>
        <v>0</v>
      </c>
    </row>
    <row r="72">
      <c r="A72" s="9">
        <f t="shared" si="5"/>
        <v>5</v>
      </c>
      <c r="B72" s="10">
        <f>IF(INDEX(rngYear,A72+1)&lt;&gt;0,INDEX(rngYear,A72+1),"")</f>
        <v>1984</v>
      </c>
      <c r="C72" s="11">
        <f>IFERROR(INDEX(rngData,MATCH($B72,rngYear,0),MATCH(OFFSET(C72,-$A72,0),rngColumnNames,0)),"")</f>
        <v>5.327024</v>
      </c>
      <c r="D72" s="11">
        <f>IFERROR(INDEX(rngData,MATCH($B72,rngYear,0),MATCH(OFFSET(D72,-$A72,0),rngColumnNames,0)),"")</f>
        <v>5.002664</v>
      </c>
      <c r="E72" s="11">
        <f>IFERROR(INDEX(rngData,MATCH($B72,rngYear,0),MATCH(OFFSET(E72,-$A72,0),rngColumnNames,0)),"")</f>
        <v>5.871959</v>
      </c>
      <c r="F72" s="11">
        <f t="shared" si="4"/>
        <v>0.86929500000000015</v>
      </c>
    </row>
    <row r="73">
      <c r="A73" s="9">
        <f t="shared" si="5"/>
        <v>6</v>
      </c>
      <c r="B73" s="10">
        <f>IF(INDEX(rngYear,A73+1)&lt;&gt;0,INDEX(rngYear,A73+1),"")</f>
        <v>1985</v>
      </c>
      <c r="C73" s="11">
        <f>IFERROR(INDEX(rngData,MATCH($B73,rngYear,0),MATCH(OFFSET(C73,-$A73,0),rngColumnNames,0)),"")</f>
        <v>4.949758</v>
      </c>
      <c r="D73" s="11">
        <f>IFERROR(INDEX(rngData,MATCH($B73,rngYear,0),MATCH(OFFSET(D73,-$A73,0),rngColumnNames,0)),"")</f>
        <v>4.678135</v>
      </c>
      <c r="E73" s="11">
        <f>IFERROR(INDEX(rngData,MATCH($B73,rngYear,0),MATCH(OFFSET(E73,-$A73,0),rngColumnNames,0)),"")</f>
        <v>5.37194</v>
      </c>
      <c r="F73" s="11">
        <f t="shared" si="4"/>
        <v>0.69380500000000023</v>
      </c>
    </row>
    <row r="74">
      <c r="A74" s="9">
        <f t="shared" si="5"/>
        <v>7</v>
      </c>
      <c r="B74" s="10">
        <f>IF(INDEX(rngYear,A74+1)&lt;&gt;0,INDEX(rngYear,A74+1),"")</f>
        <v>1986</v>
      </c>
      <c r="C74" s="11">
        <f>IFERROR(INDEX(rngData,MATCH($B74,rngYear,0),MATCH(OFFSET(C74,-$A74,0),rngColumnNames,0)),"")</f>
        <v>4.624052</v>
      </c>
      <c r="D74" s="11">
        <f>IFERROR(INDEX(rngData,MATCH($B74,rngYear,0),MATCH(OFFSET(D74,-$A74,0),rngColumnNames,0)),"")</f>
        <v>4.430567</v>
      </c>
      <c r="E74" s="11">
        <f>IFERROR(INDEX(rngData,MATCH($B74,rngYear,0),MATCH(OFFSET(E74,-$A74,0),rngColumnNames,0)),"")</f>
        <v>4.979111</v>
      </c>
      <c r="F74" s="11">
        <f t="shared" si="4"/>
        <v>0.5485439999999997</v>
      </c>
    </row>
    <row r="75">
      <c r="A75" s="9">
        <f t="shared" si="5"/>
        <v>8</v>
      </c>
      <c r="B75" s="10">
        <f>IF(INDEX(rngYear,A75+1)&lt;&gt;0,INDEX(rngYear,A75+1),"")</f>
        <v>1987</v>
      </c>
      <c r="C75" s="11">
        <f>IFERROR(INDEX(rngData,MATCH($B75,rngYear,0),MATCH(OFFSET(C75,-$A75,0),rngColumnNames,0)),"")</f>
        <v>4.340528</v>
      </c>
      <c r="D75" s="11">
        <f>IFERROR(INDEX(rngData,MATCH($B75,rngYear,0),MATCH(OFFSET(D75,-$A75,0),rngColumnNames,0)),"")</f>
        <v>4.179187</v>
      </c>
      <c r="E75" s="11">
        <f>IFERROR(INDEX(rngData,MATCH($B75,rngYear,0),MATCH(OFFSET(E75,-$A75,0),rngColumnNames,0)),"")</f>
        <v>4.61461</v>
      </c>
      <c r="F75" s="11">
        <f t="shared" si="4"/>
        <v>0.43542300000000012</v>
      </c>
    </row>
    <row r="76">
      <c r="A76" s="9">
        <f t="shared" si="5"/>
        <v>9</v>
      </c>
      <c r="B76" s="10">
        <f>IF(INDEX(rngYear,A76+1)&lt;&gt;0,INDEX(rngYear,A76+1),"")</f>
        <v>1988</v>
      </c>
      <c r="C76" s="11">
        <f>IFERROR(INDEX(rngData,MATCH($B76,rngYear,0),MATCH(OFFSET(C76,-$A76,0),rngColumnNames,0)),"")</f>
        <v>4.09193</v>
      </c>
      <c r="D76" s="11">
        <f>IFERROR(INDEX(rngData,MATCH($B76,rngYear,0),MATCH(OFFSET(D76,-$A76,0),rngColumnNames,0)),"")</f>
        <v>3.928562</v>
      </c>
      <c r="E76" s="11">
        <f>IFERROR(INDEX(rngData,MATCH($B76,rngYear,0),MATCH(OFFSET(E76,-$A76,0),rngColumnNames,0)),"")</f>
        <v>4.301375</v>
      </c>
      <c r="F76" s="11">
        <f t="shared" si="4"/>
        <v>0.37281300000000028</v>
      </c>
    </row>
    <row r="77">
      <c r="A77" s="9">
        <f t="shared" si="5"/>
        <v>10</v>
      </c>
      <c r="B77" s="10">
        <f>IF(INDEX(rngYear,A77+1)&lt;&gt;0,INDEX(rngYear,A77+1),"")</f>
        <v>1989</v>
      </c>
      <c r="C77" s="11">
        <f>IFERROR(INDEX(rngData,MATCH($B77,rngYear,0),MATCH(OFFSET(C77,-$A77,0),rngColumnNames,0)),"")</f>
        <v>3.872569</v>
      </c>
      <c r="D77" s="11">
        <f>IFERROR(INDEX(rngData,MATCH($B77,rngYear,0),MATCH(OFFSET(D77,-$A77,0),rngColumnNames,0)),"")</f>
        <v>3.677941</v>
      </c>
      <c r="E77" s="11">
        <f>IFERROR(INDEX(rngData,MATCH($B77,rngYear,0),MATCH(OFFSET(E77,-$A77,0),rngColumnNames,0)),"")</f>
        <v>4.090343</v>
      </c>
      <c r="F77" s="11">
        <f t="shared" si="4"/>
        <v>0.41240199999999971</v>
      </c>
    </row>
    <row r="78">
      <c r="A78" s="9">
        <f t="shared" si="5"/>
        <v>11</v>
      </c>
      <c r="B78" s="10">
        <f>IF(INDEX(rngYear,A78+1)&lt;&gt;0,INDEX(rngYear,A78+1),"")</f>
        <v>1990</v>
      </c>
      <c r="C78" s="11">
        <f>IFERROR(INDEX(rngData,MATCH($B78,rngYear,0),MATCH(OFFSET(C78,-$A78,0),rngColumnNames,0)),"")</f>
        <v>3.677935</v>
      </c>
      <c r="D78" s="11">
        <f>IFERROR(INDEX(rngData,MATCH($B78,rngYear,0),MATCH(OFFSET(D78,-$A78,0),rngColumnNames,0)),"")</f>
        <v>3.487542</v>
      </c>
      <c r="E78" s="11">
        <f>IFERROR(INDEX(rngData,MATCH($B78,rngYear,0),MATCH(OFFSET(E78,-$A78,0),rngColumnNames,0)),"")</f>
        <v>3.891879</v>
      </c>
      <c r="F78" s="11">
        <f t="shared" si="4"/>
        <v>0.40433699999999995</v>
      </c>
    </row>
    <row r="79">
      <c r="A79" s="9">
        <f t="shared" si="5"/>
        <v>12</v>
      </c>
      <c r="B79" s="10">
        <f>IF(INDEX(rngYear,A79+1)&lt;&gt;0,INDEX(rngYear,A79+1),"")</f>
        <v>1991</v>
      </c>
      <c r="C79" s="11">
        <f>IFERROR(INDEX(rngData,MATCH($B79,rngYear,0),MATCH(OFFSET(C79,-$A79,0),rngColumnNames,0)),"")</f>
        <v>3.504411</v>
      </c>
      <c r="D79" s="11">
        <f>IFERROR(INDEX(rngData,MATCH($B79,rngYear,0),MATCH(OFFSET(D79,-$A79,0),rngColumnNames,0)),"")</f>
        <v>3.307779</v>
      </c>
      <c r="E79" s="11">
        <f>IFERROR(INDEX(rngData,MATCH($B79,rngYear,0),MATCH(OFFSET(E79,-$A79,0),rngColumnNames,0)),"")</f>
        <v>3.704256</v>
      </c>
      <c r="F79" s="11">
        <f t="shared" si="4"/>
        <v>0.39647699999999997</v>
      </c>
    </row>
    <row r="80">
      <c r="A80" s="9">
        <f t="shared" si="5"/>
        <v>13</v>
      </c>
      <c r="B80" s="10">
        <f>IF(INDEX(rngYear,A80+1)&lt;&gt;0,INDEX(rngYear,A80+1),"")</f>
        <v>1992</v>
      </c>
      <c r="C80" s="11">
        <f>IFERROR(INDEX(rngData,MATCH($B80,rngYear,0),MATCH(OFFSET(C80,-$A80,0),rngColumnNames,0)),"")</f>
        <v>3.349076</v>
      </c>
      <c r="D80" s="11">
        <f>IFERROR(INDEX(rngData,MATCH($B80,rngYear,0),MATCH(OFFSET(D80,-$A80,0),rngColumnNames,0)),"")</f>
        <v>3.147857</v>
      </c>
      <c r="E80" s="11">
        <f>IFERROR(INDEX(rngData,MATCH($B80,rngYear,0),MATCH(OFFSET(E80,-$A80,0),rngColumnNames,0)),"")</f>
        <v>3.557813</v>
      </c>
      <c r="F80" s="11">
        <f t="shared" si="4"/>
        <v>0.40995599999999977</v>
      </c>
    </row>
    <row r="81">
      <c r="A81" s="9">
        <f t="shared" si="5"/>
        <v>14</v>
      </c>
      <c r="B81" s="10">
        <f>IF(INDEX(rngYear,A81+1)&lt;&gt;0,INDEX(rngYear,A81+1),"")</f>
        <v>1993</v>
      </c>
      <c r="C81" s="11">
        <f>IFERROR(INDEX(rngData,MATCH($B81,rngYear,0),MATCH(OFFSET(C81,-$A81,0),rngColumnNames,0)),"")</f>
        <v>3.209551</v>
      </c>
      <c r="D81" s="11">
        <f>IFERROR(INDEX(rngData,MATCH($B81,rngYear,0),MATCH(OFFSET(D81,-$A81,0),rngColumnNames,0)),"")</f>
        <v>3.004909</v>
      </c>
      <c r="E81" s="11">
        <f>IFERROR(INDEX(rngData,MATCH($B81,rngYear,0),MATCH(OFFSET(E81,-$A81,0),rngColumnNames,0)),"")</f>
        <v>3.424557</v>
      </c>
      <c r="F81" s="11">
        <f t="shared" si="4"/>
        <v>0.419648</v>
      </c>
    </row>
    <row r="82">
      <c r="A82" s="9">
        <f t="shared" si="5"/>
        <v>15</v>
      </c>
      <c r="B82" s="10">
        <f>IF(INDEX(rngYear,A82+1)&lt;&gt;0,INDEX(rngYear,A82+1),"")</f>
        <v>1994</v>
      </c>
      <c r="C82" s="11">
        <f>IFERROR(INDEX(rngData,MATCH($B82,rngYear,0),MATCH(OFFSET(C82,-$A82,0),rngColumnNames,0)),"")</f>
        <v>3.136262</v>
      </c>
      <c r="D82" s="11">
        <f>IFERROR(INDEX(rngData,MATCH($B82,rngYear,0),MATCH(OFFSET(D82,-$A82,0),rngColumnNames,0)),"")</f>
        <v>2.987696</v>
      </c>
      <c r="E82" s="11">
        <f>IFERROR(INDEX(rngData,MATCH($B82,rngYear,0),MATCH(OFFSET(E82,-$A82,0),rngColumnNames,0)),"")</f>
        <v>3.294205</v>
      </c>
      <c r="F82" s="11">
        <f t="shared" si="4"/>
        <v>0.3065089999999997</v>
      </c>
    </row>
    <row r="83">
      <c r="A83" s="9">
        <f t="shared" si="5"/>
        <v>16</v>
      </c>
      <c r="B83" s="10">
        <f>IF(INDEX(rngYear,A83+1)&lt;&gt;0,INDEX(rngYear,A83+1),"")</f>
        <v>1995</v>
      </c>
      <c r="C83" s="11">
        <f>IFERROR(INDEX(rngData,MATCH($B83,rngYear,0),MATCH(OFFSET(C83,-$A83,0),rngColumnNames,0)),"")</f>
        <v>3.067348</v>
      </c>
      <c r="D83" s="11">
        <f>IFERROR(INDEX(rngData,MATCH($B83,rngYear,0),MATCH(OFFSET(D83,-$A83,0),rngColumnNames,0)),"")</f>
        <v>2.916644</v>
      </c>
      <c r="E83" s="11">
        <f>IFERROR(INDEX(rngData,MATCH($B83,rngYear,0),MATCH(OFFSET(E83,-$A83,0),rngColumnNames,0)),"")</f>
        <v>3.196508</v>
      </c>
      <c r="F83" s="11">
        <f t="shared" si="4"/>
        <v>0.27986400000000033</v>
      </c>
    </row>
    <row r="84">
      <c r="A84" s="9">
        <f t="shared" si="5"/>
        <v>17</v>
      </c>
      <c r="B84" s="10">
        <f>IF(INDEX(rngYear,A84+1)&lt;&gt;0,INDEX(rngYear,A84+1),"")</f>
        <v>1996</v>
      </c>
      <c r="C84" s="11">
        <f>IFERROR(INDEX(rngData,MATCH($B84,rngYear,0),MATCH(OFFSET(C84,-$A84,0),rngColumnNames,0)),"")</f>
        <v>3.002451</v>
      </c>
      <c r="D84" s="11">
        <f>IFERROR(INDEX(rngData,MATCH($B84,rngYear,0),MATCH(OFFSET(D84,-$A84,0),rngColumnNames,0)),"")</f>
        <v>2.859683</v>
      </c>
      <c r="E84" s="11">
        <f>IFERROR(INDEX(rngData,MATCH($B84,rngYear,0),MATCH(OFFSET(E84,-$A84,0),rngColumnNames,0)),"")</f>
        <v>3.112055</v>
      </c>
      <c r="F84" s="11">
        <f t="shared" si="4"/>
        <v>0.25237199999999982</v>
      </c>
    </row>
    <row r="85">
      <c r="A85" s="9">
        <f t="shared" si="5"/>
        <v>18</v>
      </c>
      <c r="B85" s="10">
        <f>IF(INDEX(rngYear,A85+1)&lt;&gt;0,INDEX(rngYear,A85+1),"")</f>
        <v>1997</v>
      </c>
      <c r="C85" s="11">
        <f>IFERROR(INDEX(rngData,MATCH($B85,rngYear,0),MATCH(OFFSET(C85,-$A85,0),rngColumnNames,0)),"")</f>
        <v>2.941255</v>
      </c>
      <c r="D85" s="11">
        <f>IFERROR(INDEX(rngData,MATCH($B85,rngYear,0),MATCH(OFFSET(D85,-$A85,0),rngColumnNames,0)),"")</f>
        <v>2.813715</v>
      </c>
      <c r="E85" s="11">
        <f>IFERROR(INDEX(rngData,MATCH($B85,rngYear,0),MATCH(OFFSET(E85,-$A85,0),rngColumnNames,0)),"")</f>
        <v>3.053596</v>
      </c>
      <c r="F85" s="11">
        <f t="shared" si="4"/>
        <v>0.239881</v>
      </c>
    </row>
    <row r="86">
      <c r="A86" s="9">
        <f t="shared" si="5"/>
        <v>19</v>
      </c>
      <c r="B86" s="10">
        <f>IF(INDEX(rngYear,A86+1)&lt;&gt;0,INDEX(rngYear,A86+1),"")</f>
        <v>1998</v>
      </c>
      <c r="C86" s="11">
        <f>IFERROR(INDEX(rngData,MATCH($B86,rngYear,0),MATCH(OFFSET(C86,-$A86,0),rngColumnNames,0)),"")</f>
        <v>2.88348</v>
      </c>
      <c r="D86" s="11">
        <f>IFERROR(INDEX(rngData,MATCH($B86,rngYear,0),MATCH(OFFSET(D86,-$A86,0),rngColumnNames,0)),"")</f>
        <v>2.741578</v>
      </c>
      <c r="E86" s="11">
        <f>IFERROR(INDEX(rngData,MATCH($B86,rngYear,0),MATCH(OFFSET(E86,-$A86,0),rngColumnNames,0)),"")</f>
        <v>2.99629</v>
      </c>
      <c r="F86" s="11">
        <f t="shared" si="4"/>
        <v>0.25471200000000005</v>
      </c>
    </row>
    <row r="87">
      <c r="A87" s="9">
        <f t="shared" si="5"/>
        <v>20</v>
      </c>
      <c r="B87" s="10">
        <f>IF(INDEX(rngYear,A87+1)&lt;&gt;0,INDEX(rngYear,A87+1),"")</f>
        <v>1999</v>
      </c>
      <c r="C87" s="11">
        <f>IFERROR(INDEX(rngData,MATCH($B87,rngYear,0),MATCH(OFFSET(C87,-$A87,0),rngColumnNames,0)),"")</f>
        <v>2.828876</v>
      </c>
      <c r="D87" s="11">
        <f>IFERROR(INDEX(rngData,MATCH($B87,rngYear,0),MATCH(OFFSET(D87,-$A87,0),rngColumnNames,0)),"")</f>
        <v>2.677572</v>
      </c>
      <c r="E87" s="11">
        <f>IFERROR(INDEX(rngData,MATCH($B87,rngYear,0),MATCH(OFFSET(E87,-$A87,0),rngColumnNames,0)),"")</f>
        <v>2.953995</v>
      </c>
      <c r="F87" s="11">
        <f t="shared" si="4"/>
        <v>0.27642299999999986</v>
      </c>
    </row>
    <row r="88">
      <c r="A88" s="9">
        <f t="shared" si="5"/>
        <v>21</v>
      </c>
      <c r="B88" s="10">
        <f>IF(INDEX(rngYear,A88+1)&lt;&gt;0,INDEX(rngYear,A88+1),"")</f>
        <v>2000</v>
      </c>
      <c r="C88" s="11">
        <f>IFERROR(INDEX(rngData,MATCH($B88,rngYear,0),MATCH(OFFSET(C88,-$A88,0),rngColumnNames,0)),"")</f>
        <v>2.77722</v>
      </c>
      <c r="D88" s="11">
        <f>IFERROR(INDEX(rngData,MATCH($B88,rngYear,0),MATCH(OFFSET(D88,-$A88,0),rngColumnNames,0)),"")</f>
        <v>2.620646</v>
      </c>
      <c r="E88" s="11">
        <f>IFERROR(INDEX(rngData,MATCH($B88,rngYear,0),MATCH(OFFSET(E88,-$A88,0),rngColumnNames,0)),"")</f>
        <v>2.914952</v>
      </c>
      <c r="F88" s="11">
        <f t="shared" si="4"/>
        <v>0.29430600000000018</v>
      </c>
    </row>
    <row r="89">
      <c r="A89" s="9">
        <f t="shared" si="5"/>
        <v>22</v>
      </c>
      <c r="B89" s="10">
        <f>IF(INDEX(rngYear,A89+1)&lt;&gt;0,INDEX(rngYear,A89+1),"")</f>
        <v>2001</v>
      </c>
      <c r="C89" s="11">
        <f>IFERROR(INDEX(rngData,MATCH($B89,rngYear,0),MATCH(OFFSET(C89,-$A89,0),rngColumnNames,0)),"")</f>
        <v>2.728312</v>
      </c>
      <c r="D89" s="11">
        <f>IFERROR(INDEX(rngData,MATCH($B89,rngYear,0),MATCH(OFFSET(D89,-$A89,0),rngColumnNames,0)),"")</f>
        <v>2.559768</v>
      </c>
      <c r="E89" s="11">
        <f>IFERROR(INDEX(rngData,MATCH($B89,rngYear,0),MATCH(OFFSET(E89,-$A89,0),rngColumnNames,0)),"")</f>
        <v>2.891623</v>
      </c>
      <c r="F89" s="11">
        <f t="shared" si="4"/>
        <v>0.331855</v>
      </c>
    </row>
    <row r="90">
      <c r="A90" s="9">
        <f t="shared" si="5"/>
        <v>23</v>
      </c>
      <c r="B90" s="10">
        <f>IF(INDEX(rngYear,A90+1)&lt;&gt;0,INDEX(rngYear,A90+1),"")</f>
        <v>2002</v>
      </c>
      <c r="C90" s="11">
        <f>IFERROR(INDEX(rngData,MATCH($B90,rngYear,0),MATCH(OFFSET(C90,-$A90,0),rngColumnNames,0)),"")</f>
        <v>2.681975</v>
      </c>
      <c r="D90" s="11">
        <f>IFERROR(INDEX(rngData,MATCH($B90,rngYear,0),MATCH(OFFSET(D90,-$A90,0),rngColumnNames,0)),"")</f>
        <v>2.498182</v>
      </c>
      <c r="E90" s="11">
        <f>IFERROR(INDEX(rngData,MATCH($B90,rngYear,0),MATCH(OFFSET(E90,-$A90,0),rngColumnNames,0)),"")</f>
        <v>2.860103</v>
      </c>
      <c r="F90" s="11">
        <f t="shared" si="4"/>
        <v>0.36192100000000016</v>
      </c>
    </row>
    <row r="91">
      <c r="A91" s="9">
        <f t="shared" si="5"/>
        <v>24</v>
      </c>
      <c r="B91" s="10">
        <f>IF(INDEX(rngYear,A91+1)&lt;&gt;0,INDEX(rngYear,A91+1),"")</f>
        <v>2003</v>
      </c>
      <c r="C91" s="11">
        <f>IFERROR(INDEX(rngData,MATCH($B91,rngYear,0),MATCH(OFFSET(C91,-$A91,0),rngColumnNames,0)),"")</f>
        <v>2.657852</v>
      </c>
      <c r="D91" s="11">
        <f>IFERROR(INDEX(rngData,MATCH($B91,rngYear,0),MATCH(OFFSET(D91,-$A91,0),rngColumnNames,0)),"")</f>
        <v>2.486748</v>
      </c>
      <c r="E91" s="11">
        <f>IFERROR(INDEX(rngData,MATCH($B91,rngYear,0),MATCH(OFFSET(E91,-$A91,0),rngColumnNames,0)),"")</f>
        <v>2.826017</v>
      </c>
      <c r="F91" s="11">
        <f t="shared" si="4"/>
        <v>0.33926899999999982</v>
      </c>
    </row>
    <row r="92">
      <c r="A92" s="9">
        <f t="shared" si="5"/>
        <v>25</v>
      </c>
      <c r="B92" s="10">
        <f>IF(INDEX(rngYear,A92+1)&lt;&gt;0,INDEX(rngYear,A92+1),"")</f>
        <v>2004</v>
      </c>
      <c r="C92" s="11">
        <f>IFERROR(INDEX(rngData,MATCH($B92,rngYear,0),MATCH(OFFSET(C92,-$A92,0),rngColumnNames,0)),"")</f>
        <v>2.63845</v>
      </c>
      <c r="D92" s="11">
        <f>IFERROR(INDEX(rngData,MATCH($B92,rngYear,0),MATCH(OFFSET(D92,-$A92,0),rngColumnNames,0)),"")</f>
        <v>2.484885</v>
      </c>
      <c r="E92" s="11">
        <f>IFERROR(INDEX(rngData,MATCH($B92,rngYear,0),MATCH(OFFSET(E92,-$A92,0),rngColumnNames,0)),"")</f>
        <v>2.796966</v>
      </c>
      <c r="F92" s="11">
        <f t="shared" si="4"/>
        <v>0.31208100000000005</v>
      </c>
    </row>
    <row r="93">
      <c r="A93" s="9">
        <f t="shared" si="5"/>
        <v>26</v>
      </c>
      <c r="B93" s="10">
        <f>IF(INDEX(rngYear,A93+1)&lt;&gt;0,INDEX(rngYear,A93+1),"")</f>
        <v>2005</v>
      </c>
      <c r="C93" s="11">
        <f>IFERROR(INDEX(rngData,MATCH($B93,rngYear,0),MATCH(OFFSET(C93,-$A93,0),rngColumnNames,0)),"")</f>
        <v>2.623348</v>
      </c>
      <c r="D93" s="11">
        <f>IFERROR(INDEX(rngData,MATCH($B93,rngYear,0),MATCH(OFFSET(D93,-$A93,0),rngColumnNames,0)),"")</f>
        <v>2.487592</v>
      </c>
      <c r="E93" s="11">
        <f>IFERROR(INDEX(rngData,MATCH($B93,rngYear,0),MATCH(OFFSET(E93,-$A93,0),rngColumnNames,0)),"")</f>
        <v>2.770356</v>
      </c>
      <c r="F93" s="11">
        <f t="shared" si="4"/>
        <v>0.28276400000000024</v>
      </c>
    </row>
    <row r="94">
      <c r="A94" s="9">
        <f t="shared" si="5"/>
        <v>27</v>
      </c>
      <c r="B94" s="10">
        <f>IF(INDEX(rngYear,A94+1)&lt;&gt;0,INDEX(rngYear,A94+1),"")</f>
        <v>2006</v>
      </c>
      <c r="C94" s="11">
        <f>IFERROR(INDEX(rngData,MATCH($B94,rngYear,0),MATCH(OFFSET(C94,-$A94,0),rngColumnNames,0)),"")</f>
        <v>2.61221</v>
      </c>
      <c r="D94" s="11">
        <f>IFERROR(INDEX(rngData,MATCH($B94,rngYear,0),MATCH(OFFSET(D94,-$A94,0),rngColumnNames,0)),"")</f>
        <v>2.48751</v>
      </c>
      <c r="E94" s="11">
        <f>IFERROR(INDEX(rngData,MATCH($B94,rngYear,0),MATCH(OFFSET(E94,-$A94,0),rngColumnNames,0)),"")</f>
        <v>2.741636</v>
      </c>
      <c r="F94" s="11">
        <f t="shared" si="4"/>
        <v>0.2541260000000003</v>
      </c>
    </row>
    <row r="95">
      <c r="A95" s="9">
        <f t="shared" si="5"/>
        <v>28</v>
      </c>
      <c r="B95" s="10">
        <f>IF(INDEX(rngYear,A95+1)&lt;&gt;0,INDEX(rngYear,A95+1),"")</f>
        <v>2007</v>
      </c>
      <c r="C95" s="11">
        <f>IFERROR(INDEX(rngData,MATCH($B95,rngYear,0),MATCH(OFFSET(C95,-$A95,0),rngColumnNames,0)),"")</f>
        <v>2.604768</v>
      </c>
      <c r="D95" s="11">
        <f>IFERROR(INDEX(rngData,MATCH($B95,rngYear,0),MATCH(OFFSET(D95,-$A95,0),rngColumnNames,0)),"")</f>
        <v>2.493011</v>
      </c>
      <c r="E95" s="11">
        <f>IFERROR(INDEX(rngData,MATCH($B95,rngYear,0),MATCH(OFFSET(E95,-$A95,0),rngColumnNames,0)),"")</f>
        <v>2.716385</v>
      </c>
      <c r="F95" s="11">
        <f t="shared" si="4"/>
        <v>0.22337399999999974</v>
      </c>
    </row>
    <row r="96">
      <c r="A96" s="9">
        <f t="shared" si="5"/>
        <v>29</v>
      </c>
      <c r="B96" s="10">
        <f>IF(INDEX(rngYear,A96+1)&lt;&gt;0,INDEX(rngYear,A96+1),"")</f>
        <v>2008</v>
      </c>
      <c r="C96" s="11">
        <f>IFERROR(INDEX(rngData,MATCH($B96,rngYear,0),MATCH(OFFSET(C96,-$A96,0),rngColumnNames,0)),"")</f>
        <v>2.600811</v>
      </c>
      <c r="D96" s="11">
        <f>IFERROR(INDEX(rngData,MATCH($B96,rngYear,0),MATCH(OFFSET(D96,-$A96,0),rngColumnNames,0)),"")</f>
        <v>2.498238</v>
      </c>
      <c r="E96" s="11">
        <f>IFERROR(INDEX(rngData,MATCH($B96,rngYear,0),MATCH(OFFSET(E96,-$A96,0),rngColumnNames,0)),"")</f>
        <v>2.699403</v>
      </c>
      <c r="F96" s="11">
        <f t="shared" si="4"/>
        <v>0.20116500000000004</v>
      </c>
    </row>
    <row r="97">
      <c r="A97" s="9">
        <f t="shared" si="5"/>
        <v>30</v>
      </c>
      <c r="B97" s="10">
        <f>IF(INDEX(rngYear,A97+1)&lt;&gt;0,INDEX(rngYear,A97+1),"")</f>
        <v>2009</v>
      </c>
      <c r="C97" s="11">
        <f>IFERROR(INDEX(rngData,MATCH($B97,rngYear,0),MATCH(OFFSET(C97,-$A97,0),rngColumnNames,0)),"")</f>
        <v>2.600175</v>
      </c>
      <c r="D97" s="11">
        <f>IFERROR(INDEX(rngData,MATCH($B97,rngYear,0),MATCH(OFFSET(D97,-$A97,0),rngColumnNames,0)),"")</f>
        <v>2.507119</v>
      </c>
      <c r="E97" s="11">
        <f>IFERROR(INDEX(rngData,MATCH($B97,rngYear,0),MATCH(OFFSET(E97,-$A97,0),rngColumnNames,0)),"")</f>
        <v>2.703595</v>
      </c>
      <c r="F97" s="11">
        <f t="shared" si="4"/>
        <v>0.1964760000000001</v>
      </c>
    </row>
    <row r="98">
      <c r="A98" s="9">
        <f t="shared" si="5"/>
        <v>31</v>
      </c>
      <c r="B98" s="10">
        <f>IF(INDEX(rngYear,A98+1)&lt;&gt;0,INDEX(rngYear,A98+1),"")</f>
        <v>2010</v>
      </c>
      <c r="C98" s="11">
        <f>IFERROR(INDEX(rngData,MATCH($B98,rngYear,0),MATCH(OFFSET(C98,-$A98,0),rngColumnNames,0)),"")</f>
        <v>2.602739</v>
      </c>
      <c r="D98" s="11">
        <f>IFERROR(INDEX(rngData,MATCH($B98,rngYear,0),MATCH(OFFSET(D98,-$A98,0),rngColumnNames,0)),"")</f>
        <v>2.505319</v>
      </c>
      <c r="E98" s="11">
        <f>IFERROR(INDEX(rngData,MATCH($B98,rngYear,0),MATCH(OFFSET(E98,-$A98,0),rngColumnNames,0)),"")</f>
        <v>2.704234</v>
      </c>
      <c r="F98" s="11">
        <f t="shared" si="4"/>
        <v>0.19891499999999995</v>
      </c>
    </row>
    <row r="99">
      <c r="A99" s="9">
        <f t="shared" si="5"/>
        <v>32</v>
      </c>
      <c r="B99" s="10">
        <f>IF(INDEX(rngYear,A99+1)&lt;&gt;0,INDEX(rngYear,A99+1),"")</f>
        <v>2011</v>
      </c>
      <c r="C99" s="11">
        <f>IFERROR(INDEX(rngData,MATCH($B99,rngYear,0),MATCH(OFFSET(C99,-$A99,0),rngColumnNames,0)),"")</f>
        <v>2.608419</v>
      </c>
      <c r="D99" s="11">
        <f>IFERROR(INDEX(rngData,MATCH($B99,rngYear,0),MATCH(OFFSET(D99,-$A99,0),rngColumnNames,0)),"")</f>
        <v>2.501654</v>
      </c>
      <c r="E99" s="11">
        <f>IFERROR(INDEX(rngData,MATCH($B99,rngYear,0),MATCH(OFFSET(E99,-$A99,0),rngColumnNames,0)),"")</f>
        <v>2.725622</v>
      </c>
      <c r="F99" s="11">
        <f t="shared" si="4"/>
        <v>0.22396800000000017</v>
      </c>
    </row>
    <row r="100">
      <c r="A100" s="9">
        <f t="shared" si="5"/>
        <v>33</v>
      </c>
      <c r="B100" s="10">
        <f>IF(INDEX(rngYear,A100+1)&lt;&gt;0,INDEX(rngYear,A100+1),"")</f>
        <v>2012</v>
      </c>
      <c r="C100" s="11">
        <f>IFERROR(INDEX(rngData,MATCH($B100,rngYear,0),MATCH(OFFSET(C100,-$A100,0),rngColumnNames,0)),"")</f>
        <v>2.617165</v>
      </c>
      <c r="D100" s="11">
        <f>IFERROR(INDEX(rngData,MATCH($B100,rngYear,0),MATCH(OFFSET(D100,-$A100,0),rngColumnNames,0)),"")</f>
        <v>2.504827</v>
      </c>
      <c r="E100" s="11">
        <f>IFERROR(INDEX(rngData,MATCH($B100,rngYear,0),MATCH(OFFSET(E100,-$A100,0),rngColumnNames,0)),"")</f>
        <v>2.7505</v>
      </c>
      <c r="F100" s="11">
        <f ref="F100:F127" t="shared" si="6">IFERROR(E100-D100,"")</f>
        <v>0.24567300000000003</v>
      </c>
    </row>
    <row r="101">
      <c r="A101" s="9">
        <f ref="A101:A127" t="shared" si="7">A100+1</f>
        <v>34</v>
      </c>
      <c r="B101" s="10">
        <f>IF(INDEX(rngYear,A101+1)&lt;&gt;0,INDEX(rngYear,A101+1),"")</f>
        <v>2013</v>
      </c>
      <c r="C101" s="11">
        <f>IFERROR(INDEX(rngData,MATCH($B101,rngYear,0),MATCH(OFFSET(C101,-$A101,0),rngColumnNames,0)),"")</f>
        <v>2.719839</v>
      </c>
      <c r="D101" s="11">
        <f>IFERROR(INDEX(rngData,MATCH($B101,rngYear,0),MATCH(OFFSET(D101,-$A101,0),rngColumnNames,0)),"")</f>
        <v>2.620351</v>
      </c>
      <c r="E101" s="11">
        <f>IFERROR(INDEX(rngData,MATCH($B101,rngYear,0),MATCH(OFFSET(E101,-$A101,0),rngColumnNames,0)),"")</f>
        <v>2.841021</v>
      </c>
      <c r="F101" s="11">
        <f t="shared" si="6"/>
        <v>0.22067000000000014</v>
      </c>
    </row>
    <row r="102">
      <c r="A102" s="9">
        <f t="shared" si="7"/>
        <v>35</v>
      </c>
      <c r="B102" s="10">
        <f>IF(INDEX(rngYear,A102+1)&lt;&gt;0,INDEX(rngYear,A102+1),"")</f>
        <v>2014</v>
      </c>
      <c r="C102" s="11">
        <f>IFERROR(INDEX(rngData,MATCH($B102,rngYear,0),MATCH(OFFSET(C102,-$A102,0),rngColumnNames,0)),"")</f>
        <v>2.83495</v>
      </c>
      <c r="D102" s="11">
        <f>IFERROR(INDEX(rngData,MATCH($B102,rngYear,0),MATCH(OFFSET(D102,-$A102,0),rngColumnNames,0)),"")</f>
        <v>2.747425</v>
      </c>
      <c r="E102" s="11">
        <f>IFERROR(INDEX(rngData,MATCH($B102,rngYear,0),MATCH(OFFSET(E102,-$A102,0),rngColumnNames,0)),"")</f>
        <v>2.96256</v>
      </c>
      <c r="F102" s="11">
        <f t="shared" si="6"/>
        <v>0.21513500000000008</v>
      </c>
    </row>
    <row r="103">
      <c r="A103" s="9">
        <f t="shared" si="7"/>
        <v>36</v>
      </c>
      <c r="B103" s="10">
        <f>IF(INDEX(rngYear,A103+1)&lt;&gt;0,INDEX(rngYear,A103+1),"")</f>
        <v>2015</v>
      </c>
      <c r="C103" s="11">
        <f>IFERROR(INDEX(rngData,MATCH($B103,rngYear,0),MATCH(OFFSET(C103,-$A103,0),rngColumnNames,0)),"")</f>
        <v>2.963949</v>
      </c>
      <c r="D103" s="11">
        <f>IFERROR(INDEX(rngData,MATCH($B103,rngYear,0),MATCH(OFFSET(D103,-$A103,0),rngColumnNames,0)),"")</f>
        <v>2.869074</v>
      </c>
      <c r="E103" s="11">
        <f>IFERROR(INDEX(rngData,MATCH($B103,rngYear,0),MATCH(OFFSET(E103,-$A103,0),rngColumnNames,0)),"")</f>
        <v>3.07801</v>
      </c>
      <c r="F103" s="11">
        <f t="shared" si="6"/>
        <v>0.208936</v>
      </c>
    </row>
    <row r="104">
      <c r="A104" s="9">
        <f t="shared" si="7"/>
        <v>37</v>
      </c>
      <c r="B104" s="10">
        <f>IF(INDEX(rngYear,A104+1)&lt;&gt;0,INDEX(rngYear,A104+1),"")</f>
        <v>2016</v>
      </c>
      <c r="C104" s="11">
        <f>IFERROR(INDEX(rngData,MATCH($B104,rngYear,0),MATCH(OFFSET(C104,-$A104,0),rngColumnNames,0)),"")</f>
        <v>3.108726</v>
      </c>
      <c r="D104" s="11">
        <f>IFERROR(INDEX(rngData,MATCH($B104,rngYear,0),MATCH(OFFSET(D104,-$A104,0),rngColumnNames,0)),"")</f>
        <v>3.006553</v>
      </c>
      <c r="E104" s="11">
        <f>IFERROR(INDEX(rngData,MATCH($B104,rngYear,0),MATCH(OFFSET(E104,-$A104,0),rngColumnNames,0)),"")</f>
        <v>3.215259</v>
      </c>
      <c r="F104" s="11">
        <f t="shared" si="6"/>
        <v>0.20870600000000028</v>
      </c>
    </row>
    <row r="105">
      <c r="A105" s="9">
        <f t="shared" si="7"/>
        <v>38</v>
      </c>
      <c r="B105" s="10">
        <f>IF(INDEX(rngYear,A105+1)&lt;&gt;0,INDEX(rngYear,A105+1),"")</f>
        <v>2017</v>
      </c>
      <c r="C105" s="11">
        <f>IFERROR(INDEX(rngData,MATCH($B105,rngYear,0),MATCH(OFFSET(C105,-$A105,0),rngColumnNames,0)),"")</f>
        <v>3.271692</v>
      </c>
      <c r="D105" s="11">
        <f>IFERROR(INDEX(rngData,MATCH($B105,rngYear,0),MATCH(OFFSET(D105,-$A105,0),rngColumnNames,0)),"")</f>
        <v>3.149206</v>
      </c>
      <c r="E105" s="11">
        <f>IFERROR(INDEX(rngData,MATCH($B105,rngYear,0),MATCH(OFFSET(E105,-$A105,0),rngColumnNames,0)),"")</f>
        <v>3.401793</v>
      </c>
      <c r="F105" s="11">
        <f t="shared" si="6"/>
        <v>0.25258700000000012</v>
      </c>
    </row>
    <row r="106">
      <c r="A106" s="9">
        <f t="shared" si="7"/>
        <v>39</v>
      </c>
      <c r="B106" s="10">
        <f>IF(INDEX(rngYear,A106+1)&lt;&gt;0,INDEX(rngYear,A106+1),"")</f>
        <v>2018</v>
      </c>
      <c r="C106" s="11">
        <f>IFERROR(INDEX(rngData,MATCH($B106,rngYear,0),MATCH(OFFSET(C106,-$A106,0),rngColumnNames,0)),"")</f>
        <v>3.455905</v>
      </c>
      <c r="D106" s="11">
        <f>IFERROR(INDEX(rngData,MATCH($B106,rngYear,0),MATCH(OFFSET(D106,-$A106,0),rngColumnNames,0)),"")</f>
        <v>3.308266</v>
      </c>
      <c r="E106" s="11">
        <f>IFERROR(INDEX(rngData,MATCH($B106,rngYear,0),MATCH(OFFSET(E106,-$A106,0),rngColumnNames,0)),"")</f>
        <v>3.621212</v>
      </c>
      <c r="F106" s="11">
        <f t="shared" si="6"/>
        <v>0.31294599999999972</v>
      </c>
    </row>
    <row r="107">
      <c r="A107" s="9">
        <f t="shared" si="7"/>
        <v>40</v>
      </c>
      <c r="B107" s="10">
        <f>IF(INDEX(rngYear,A107+1)&lt;&gt;0,INDEX(rngYear,A107+1),"")</f>
        <v>2019</v>
      </c>
      <c r="C107" s="11">
        <f>IFERROR(INDEX(rngData,MATCH($B107,rngYear,0),MATCH(OFFSET(C107,-$A107,0),rngColumnNames,0)),"")</f>
        <v>3.665249</v>
      </c>
      <c r="D107" s="11">
        <f>IFERROR(INDEX(rngData,MATCH($B107,rngYear,0),MATCH(OFFSET(D107,-$A107,0),rngColumnNames,0)),"")</f>
        <v>3.470465</v>
      </c>
      <c r="E107" s="11">
        <f>IFERROR(INDEX(rngData,MATCH($B107,rngYear,0),MATCH(OFFSET(E107,-$A107,0),rngColumnNames,0)),"")</f>
        <v>3.872756</v>
      </c>
      <c r="F107" s="11">
        <f t="shared" si="6"/>
        <v>0.40229099999999995</v>
      </c>
    </row>
    <row r="108">
      <c r="A108" s="9">
        <f t="shared" si="7"/>
        <v>41</v>
      </c>
      <c r="B108" s="10">
        <f>IF(INDEX(rngYear,A108+1)&lt;&gt;0,INDEX(rngYear,A108+1),"")</f>
        <v>2020</v>
      </c>
      <c r="C108" s="11">
        <f>IFERROR(INDEX(rngData,MATCH($B108,rngYear,0),MATCH(OFFSET(C108,-$A108,0),rngColumnNames,0)),"")</f>
        <v>3.904697</v>
      </c>
      <c r="D108" s="11">
        <f>IFERROR(INDEX(rngData,MATCH($B108,rngYear,0),MATCH(OFFSET(D108,-$A108,0),rngColumnNames,0)),"")</f>
        <v>3.634453</v>
      </c>
      <c r="E108" s="11">
        <f>IFERROR(INDEX(rngData,MATCH($B108,rngYear,0),MATCH(OFFSET(E108,-$A108,0),rngColumnNames,0)),"")</f>
        <v>4.185993</v>
      </c>
      <c r="F108" s="11">
        <f t="shared" si="6"/>
        <v>0.5515399999999997</v>
      </c>
    </row>
    <row r="109">
      <c r="A109" s="9">
        <f t="shared" si="7"/>
        <v>42</v>
      </c>
      <c r="B109" s="10">
        <f>IF(INDEX(rngYear,A109+1)&lt;&gt;0,INDEX(rngYear,A109+1),"")</f>
        <v>2021</v>
      </c>
      <c r="C109" s="11">
        <f>IFERROR(INDEX(rngData,MATCH($B109,rngYear,0),MATCH(OFFSET(C109,-$A109,0),rngColumnNames,0)),"")</f>
        <v>5.13284</v>
      </c>
      <c r="D109" s="11">
        <f>IFERROR(INDEX(rngData,MATCH($B109,rngYear,0),MATCH(OFFSET(D109,-$A109,0),rngColumnNames,0)),"")</f>
        <v>4.624335</v>
      </c>
      <c r="E109" s="11">
        <f>IFERROR(INDEX(rngData,MATCH($B109,rngYear,0),MATCH(OFFSET(E109,-$A109,0),rngColumnNames,0)),"")</f>
        <v>5.685221</v>
      </c>
      <c r="F109" s="11">
        <f t="shared" si="6"/>
        <v>1.060886</v>
      </c>
    </row>
    <row r="110">
      <c r="A110" s="9">
        <f t="shared" si="7"/>
        <v>43</v>
      </c>
      <c r="B110" s="10">
        <f>IF(INDEX(rngYear,A110+1)&lt;&gt;0,INDEX(rngYear,A110+1),"")</f>
        <v>2022</v>
      </c>
      <c r="C110" s="11">
        <f>IFERROR(INDEX(rngData,MATCH($B110,rngYear,0),MATCH(OFFSET(C110,-$A110,0),rngColumnNames,0)),"")</f>
        <v>4.687086</v>
      </c>
      <c r="D110" s="11">
        <f>IFERROR(INDEX(rngData,MATCH($B110,rngYear,0),MATCH(OFFSET(D110,-$A110,0),rngColumnNames,0)),"")</f>
        <v>4.276251</v>
      </c>
      <c r="E110" s="11">
        <f>IFERROR(INDEX(rngData,MATCH($B110,rngYear,0),MATCH(OFFSET(E110,-$A110,0),rngColumnNames,0)),"")</f>
        <v>5.101592</v>
      </c>
      <c r="F110" s="11">
        <f t="shared" si="6"/>
        <v>0.82534099999999988</v>
      </c>
    </row>
    <row r="111">
      <c r="A111" s="9">
        <f t="shared" si="7"/>
        <v>44</v>
      </c>
      <c r="B111" s="10">
        <f>IF(INDEX(rngYear,A111+1)&lt;&gt;0,INDEX(rngYear,A111+1),"")</f>
      </c>
      <c r="C111" s="11">
        <f>IFERROR(INDEX(rngData,MATCH($B111,rngYear,0),MATCH(OFFSET(C111,-$A111,0),rngColumnNames,0)),"")</f>
      </c>
      <c r="D111" s="11">
        <f>IFERROR(INDEX(rngData,MATCH($B111,rngYear,0),MATCH(OFFSET(D111,-$A111,0),rngColumnNames,0)),"")</f>
      </c>
      <c r="E111" s="11">
        <f>IFERROR(INDEX(rngData,MATCH($B111,rngYear,0),MATCH(OFFSET(E111,-$A111,0),rngColumnNames,0)),"")</f>
      </c>
      <c r="F111" s="11">
        <f t="shared" si="6"/>
      </c>
    </row>
    <row r="112">
      <c r="A112" s="9">
        <f t="shared" si="7"/>
        <v>45</v>
      </c>
      <c r="B112" s="10">
        <f>IF(INDEX(rngYear,A112+1)&lt;&gt;0,INDEX(rngYear,A112+1),"")</f>
      </c>
      <c r="C112" s="11">
        <f>IFERROR(INDEX(rngData,MATCH($B112,rngYear,0),MATCH(OFFSET(C112,-$A112,0),rngColumnNames,0)),"")</f>
      </c>
      <c r="D112" s="11">
        <f>IFERROR(INDEX(rngData,MATCH($B112,rngYear,0),MATCH(OFFSET(D112,-$A112,0),rngColumnNames,0)),"")</f>
      </c>
      <c r="E112" s="11">
        <f>IFERROR(INDEX(rngData,MATCH($B112,rngYear,0),MATCH(OFFSET(E112,-$A112,0),rngColumnNames,0)),"")</f>
      </c>
      <c r="F112" s="11">
        <f t="shared" si="6"/>
      </c>
    </row>
    <row r="113">
      <c r="A113" s="9">
        <f t="shared" si="7"/>
        <v>46</v>
      </c>
      <c r="B113" s="10">
        <f>IF(INDEX(rngYear,A113+1)&lt;&gt;0,INDEX(rngYear,A113+1),"")</f>
      </c>
      <c r="C113" s="11">
        <f>IFERROR(INDEX(rngData,MATCH($B113,rngYear,0),MATCH(OFFSET(C113,-$A113,0),rngColumnNames,0)),"")</f>
      </c>
      <c r="D113" s="11">
        <f>IFERROR(INDEX(rngData,MATCH($B113,rngYear,0),MATCH(OFFSET(D113,-$A113,0),rngColumnNames,0)),"")</f>
      </c>
      <c r="E113" s="11">
        <f>IFERROR(INDEX(rngData,MATCH($B113,rngYear,0),MATCH(OFFSET(E113,-$A113,0),rngColumnNames,0)),"")</f>
      </c>
      <c r="F113" s="11">
        <f t="shared" si="6"/>
      </c>
    </row>
    <row r="114">
      <c r="A114" s="9">
        <f t="shared" si="7"/>
        <v>47</v>
      </c>
      <c r="B114" s="10">
        <f>IF(INDEX(rngYear,A114+1)&lt;&gt;0,INDEX(rngYear,A114+1),"")</f>
      </c>
      <c r="C114" s="11">
        <f>IFERROR(INDEX(rngData,MATCH($B114,rngYear,0),MATCH(OFFSET(C114,-$A114,0),rngColumnNames,0)),"")</f>
      </c>
      <c r="D114" s="11">
        <f>IFERROR(INDEX(rngData,MATCH($B114,rngYear,0),MATCH(OFFSET(D114,-$A114,0),rngColumnNames,0)),"")</f>
      </c>
      <c r="E114" s="11">
        <f>IFERROR(INDEX(rngData,MATCH($B114,rngYear,0),MATCH(OFFSET(E114,-$A114,0),rngColumnNames,0)),"")</f>
      </c>
      <c r="F114" s="11">
        <f t="shared" si="6"/>
      </c>
    </row>
    <row r="115">
      <c r="A115" s="9">
        <f t="shared" si="7"/>
        <v>48</v>
      </c>
      <c r="B115" s="10">
        <f>IF(INDEX(rngYear,A115+1)&lt;&gt;0,INDEX(rngYear,A115+1),"")</f>
      </c>
      <c r="C115" s="11">
        <f>IFERROR(INDEX(rngData,MATCH($B115,rngYear,0),MATCH(OFFSET(C115,-$A115,0),rngColumnNames,0)),"")</f>
      </c>
      <c r="D115" s="11">
        <f>IFERROR(INDEX(rngData,MATCH($B115,rngYear,0),MATCH(OFFSET(D115,-$A115,0),rngColumnNames,0)),"")</f>
      </c>
      <c r="E115" s="11">
        <f>IFERROR(INDEX(rngData,MATCH($B115,rngYear,0),MATCH(OFFSET(E115,-$A115,0),rngColumnNames,0)),"")</f>
      </c>
      <c r="F115" s="11">
        <f t="shared" si="6"/>
      </c>
    </row>
    <row r="116">
      <c r="A116" s="9">
        <f t="shared" si="7"/>
        <v>49</v>
      </c>
      <c r="B116" s="10">
        <f>IF(INDEX(rngYear,A116+1)&lt;&gt;0,INDEX(rngYear,A116+1),"")</f>
      </c>
      <c r="C116" s="11">
        <f>IFERROR(INDEX(rngData,MATCH($B116,rngYear,0),MATCH(OFFSET(C116,-$A116,0),rngColumnNames,0)),"")</f>
      </c>
      <c r="D116" s="11">
        <f>IFERROR(INDEX(rngData,MATCH($B116,rngYear,0),MATCH(OFFSET(D116,-$A116,0),rngColumnNames,0)),"")</f>
      </c>
      <c r="E116" s="11">
        <f>IFERROR(INDEX(rngData,MATCH($B116,rngYear,0),MATCH(OFFSET(E116,-$A116,0),rngColumnNames,0)),"")</f>
      </c>
      <c r="F116" s="11">
        <f t="shared" si="6"/>
      </c>
    </row>
    <row r="117">
      <c r="A117" s="9">
        <f t="shared" si="7"/>
        <v>50</v>
      </c>
      <c r="B117" s="10">
        <f>IF(INDEX(rngYear,A117+1)&lt;&gt;0,INDEX(rngYear,A117+1),"")</f>
      </c>
      <c r="C117" s="11">
        <f>IFERROR(INDEX(rngData,MATCH($B117,rngYear,0),MATCH(OFFSET(C117,-$A117,0),rngColumnNames,0)),"")</f>
      </c>
      <c r="D117" s="11">
        <f>IFERROR(INDEX(rngData,MATCH($B117,rngYear,0),MATCH(OFFSET(D117,-$A117,0),rngColumnNames,0)),"")</f>
      </c>
      <c r="E117" s="11">
        <f>IFERROR(INDEX(rngData,MATCH($B117,rngYear,0),MATCH(OFFSET(E117,-$A117,0),rngColumnNames,0)),"")</f>
      </c>
      <c r="F117" s="11">
        <f t="shared" si="6"/>
      </c>
    </row>
    <row r="118">
      <c r="A118" s="9">
        <f t="shared" si="7"/>
        <v>51</v>
      </c>
      <c r="B118" s="10">
        <f>IF(INDEX(rngYear,A118+1)&lt;&gt;0,INDEX(rngYear,A118+1),"")</f>
      </c>
      <c r="C118" s="11">
        <f>IFERROR(INDEX(rngData,MATCH($B118,rngYear,0),MATCH(OFFSET(C118,-$A118,0),rngColumnNames,0)),"")</f>
      </c>
      <c r="D118" s="11">
        <f>IFERROR(INDEX(rngData,MATCH($B118,rngYear,0),MATCH(OFFSET(D118,-$A118,0),rngColumnNames,0)),"")</f>
      </c>
      <c r="E118" s="11">
        <f>IFERROR(INDEX(rngData,MATCH($B118,rngYear,0),MATCH(OFFSET(E118,-$A118,0),rngColumnNames,0)),"")</f>
      </c>
      <c r="F118" s="11">
        <f t="shared" si="6"/>
      </c>
    </row>
    <row r="119">
      <c r="A119" s="9">
        <f t="shared" si="7"/>
        <v>52</v>
      </c>
      <c r="B119" s="10">
        <f>IF(INDEX(rngYear,A119+1)&lt;&gt;0,INDEX(rngYear,A119+1),"")</f>
      </c>
      <c r="C119" s="11">
        <f>IFERROR(INDEX(rngData,MATCH($B119,rngYear,0),MATCH(OFFSET(C119,-$A119,0),rngColumnNames,0)),"")</f>
      </c>
      <c r="D119" s="11">
        <f>IFERROR(INDEX(rngData,MATCH($B119,rngYear,0),MATCH(OFFSET(D119,-$A119,0),rngColumnNames,0)),"")</f>
      </c>
      <c r="E119" s="11">
        <f>IFERROR(INDEX(rngData,MATCH($B119,rngYear,0),MATCH(OFFSET(E119,-$A119,0),rngColumnNames,0)),"")</f>
      </c>
      <c r="F119" s="11">
        <f t="shared" si="6"/>
      </c>
    </row>
    <row r="120">
      <c r="A120" s="9">
        <f t="shared" si="7"/>
        <v>53</v>
      </c>
      <c r="B120" s="10">
        <f>IF(INDEX(rngYear,A120+1)&lt;&gt;0,INDEX(rngYear,A120+1),"")</f>
      </c>
      <c r="C120" s="11">
        <f>IFERROR(INDEX(rngData,MATCH($B120,rngYear,0),MATCH(OFFSET(C120,-$A120,0),rngColumnNames,0)),"")</f>
      </c>
      <c r="D120" s="11">
        <f>IFERROR(INDEX(rngData,MATCH($B120,rngYear,0),MATCH(OFFSET(D120,-$A120,0),rngColumnNames,0)),"")</f>
      </c>
      <c r="E120" s="11">
        <f>IFERROR(INDEX(rngData,MATCH($B120,rngYear,0),MATCH(OFFSET(E120,-$A120,0),rngColumnNames,0)),"")</f>
      </c>
      <c r="F120" s="11">
        <f t="shared" si="6"/>
      </c>
    </row>
    <row r="121">
      <c r="A121" s="9">
        <f t="shared" si="7"/>
        <v>54</v>
      </c>
      <c r="B121" s="10">
        <f>IF(INDEX(rngYear,A121+1)&lt;&gt;0,INDEX(rngYear,A121+1),"")</f>
      </c>
      <c r="C121" s="11">
        <f>IFERROR(INDEX(rngData,MATCH($B121,rngYear,0),MATCH(OFFSET(C121,-$A121,0),rngColumnNames,0)),"")</f>
      </c>
      <c r="D121" s="11">
        <f>IFERROR(INDEX(rngData,MATCH($B121,rngYear,0),MATCH(OFFSET(D121,-$A121,0),rngColumnNames,0)),"")</f>
      </c>
      <c r="E121" s="11">
        <f>IFERROR(INDEX(rngData,MATCH($B121,rngYear,0),MATCH(OFFSET(E121,-$A121,0),rngColumnNames,0)),"")</f>
      </c>
      <c r="F121" s="11">
        <f t="shared" si="6"/>
      </c>
    </row>
    <row r="122">
      <c r="A122" s="9">
        <f t="shared" si="7"/>
        <v>55</v>
      </c>
      <c r="B122" s="10">
        <f>IF(INDEX(rngYear,A122+1)&lt;&gt;0,INDEX(rngYear,A122+1),"")</f>
      </c>
      <c r="C122" s="11">
        <f>IFERROR(INDEX(rngData,MATCH($B122,rngYear,0),MATCH(OFFSET(C122,-$A122,0),rngColumnNames,0)),"")</f>
      </c>
      <c r="D122" s="11">
        <f>IFERROR(INDEX(rngData,MATCH($B122,rngYear,0),MATCH(OFFSET(D122,-$A122,0),rngColumnNames,0)),"")</f>
      </c>
      <c r="E122" s="11">
        <f>IFERROR(INDEX(rngData,MATCH($B122,rngYear,0),MATCH(OFFSET(E122,-$A122,0),rngColumnNames,0)),"")</f>
      </c>
      <c r="F122" s="11">
        <f t="shared" si="6"/>
      </c>
    </row>
    <row r="123">
      <c r="A123" s="9">
        <f t="shared" si="7"/>
        <v>56</v>
      </c>
      <c r="B123" s="10">
        <f>IF(INDEX(rngYear,A123+1)&lt;&gt;0,INDEX(rngYear,A123+1),"")</f>
      </c>
      <c r="C123" s="11">
        <f>IFERROR(INDEX(rngData,MATCH($B123,rngYear,0),MATCH(OFFSET(C123,-$A123,0),rngColumnNames,0)),"")</f>
      </c>
      <c r="D123" s="11">
        <f>IFERROR(INDEX(rngData,MATCH($B123,rngYear,0),MATCH(OFFSET(D123,-$A123,0),rngColumnNames,0)),"")</f>
      </c>
      <c r="E123" s="11">
        <f>IFERROR(INDEX(rngData,MATCH($B123,rngYear,0),MATCH(OFFSET(E123,-$A123,0),rngColumnNames,0)),"")</f>
      </c>
      <c r="F123" s="11">
        <f t="shared" si="6"/>
      </c>
    </row>
    <row r="124">
      <c r="A124" s="9">
        <f t="shared" si="7"/>
        <v>57</v>
      </c>
      <c r="B124" s="10">
        <f>IF(INDEX(rngYear,A124+1)&lt;&gt;0,INDEX(rngYear,A124+1),"")</f>
      </c>
      <c r="C124" s="11">
        <f>IFERROR(INDEX(rngData,MATCH($B124,rngYear,0),MATCH(OFFSET(C124,-$A124,0),rngColumnNames,0)),"")</f>
      </c>
      <c r="D124" s="11">
        <f>IFERROR(INDEX(rngData,MATCH($B124,rngYear,0),MATCH(OFFSET(D124,-$A124,0),rngColumnNames,0)),"")</f>
      </c>
      <c r="E124" s="11">
        <f>IFERROR(INDEX(rngData,MATCH($B124,rngYear,0),MATCH(OFFSET(E124,-$A124,0),rngColumnNames,0)),"")</f>
      </c>
      <c r="F124" s="11">
        <f t="shared" si="6"/>
      </c>
    </row>
    <row r="125">
      <c r="A125" s="9">
        <f t="shared" si="7"/>
        <v>58</v>
      </c>
      <c r="B125" s="10">
        <f>IF(INDEX(rngYear,A125+1)&lt;&gt;0,INDEX(rngYear,A125+1),"")</f>
      </c>
      <c r="C125" s="11">
        <f>IFERROR(INDEX(rngData,MATCH($B125,rngYear,0),MATCH(OFFSET(C125,-$A125,0),rngColumnNames,0)),"")</f>
      </c>
      <c r="D125" s="11">
        <f>IFERROR(INDEX(rngData,MATCH($B125,rngYear,0),MATCH(OFFSET(D125,-$A125,0),rngColumnNames,0)),"")</f>
      </c>
      <c r="E125" s="11">
        <f>IFERROR(INDEX(rngData,MATCH($B125,rngYear,0),MATCH(OFFSET(E125,-$A125,0),rngColumnNames,0)),"")</f>
      </c>
      <c r="F125" s="11">
        <f t="shared" si="6"/>
      </c>
    </row>
    <row r="126">
      <c r="A126" s="9">
        <f t="shared" si="7"/>
        <v>59</v>
      </c>
      <c r="B126" s="10">
        <f>IF(INDEX(rngYear,A126+1)&lt;&gt;0,INDEX(rngYear,A126+1),"")</f>
      </c>
      <c r="C126" s="11">
        <f>IFERROR(INDEX(rngData,MATCH($B126,rngYear,0),MATCH(OFFSET(C126,-$A126,0),rngColumnNames,0)),"")</f>
      </c>
      <c r="D126" s="11">
        <f>IFERROR(INDEX(rngData,MATCH($B126,rngYear,0),MATCH(OFFSET(D126,-$A126,0),rngColumnNames,0)),"")</f>
      </c>
      <c r="E126" s="11">
        <f>IFERROR(INDEX(rngData,MATCH($B126,rngYear,0),MATCH(OFFSET(E126,-$A126,0),rngColumnNames,0)),"")</f>
      </c>
      <c r="F126" s="11">
        <f t="shared" si="6"/>
      </c>
    </row>
    <row r="127">
      <c r="A127" s="9">
        <f t="shared" si="7"/>
        <v>60</v>
      </c>
      <c r="B127" s="10">
        <f>IF(INDEX(rngYear,A127+1)&lt;&gt;0,INDEX(rngYear,A127+1),"")</f>
      </c>
      <c r="C127" s="11">
        <f>IFERROR(INDEX(rngData,MATCH($B127,rngYear,0),MATCH(OFFSET(C127,-$A127,0),rngColumnNames,0)),"")</f>
      </c>
      <c r="D127" s="11">
        <f>IFERROR(INDEX(rngData,MATCH($B127,rngYear,0),MATCH(OFFSET(D127,-$A127,0),rngColumnNames,0)),"")</f>
      </c>
      <c r="E127" s="11">
        <f>IFERROR(INDEX(rngData,MATCH($B127,rngYear,0),MATCH(OFFSET(E127,-$A127,0),rngColumnNames,0)),"")</f>
      </c>
      <c r="F127" s="11">
        <f t="shared" si="6"/>
      </c>
    </row>
    <row r="129" ht="19.5" customHeight="1">
      <c r="A129" s="16" t="s">
        <v>48</v>
      </c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</row>
    <row r="130" ht="22.5" customHeight="1">
      <c r="B130" s="4"/>
      <c r="C130" s="5" t="s">
        <v>2</v>
      </c>
      <c r="D130" s="17" t="s">
        <v>3</v>
      </c>
      <c r="E130" s="18"/>
      <c r="F130" s="19"/>
      <c r="G130" s="13" t="s">
        <v>49</v>
      </c>
      <c r="H130" s="23" t="s">
        <v>50</v>
      </c>
      <c r="I130" s="24"/>
      <c r="J130" s="25"/>
      <c r="K130" s="14" t="s">
        <v>51</v>
      </c>
      <c r="L130" s="20" t="s">
        <v>52</v>
      </c>
      <c r="M130" s="21"/>
      <c r="N130" s="22"/>
    </row>
    <row r="131" ht="22.5" customHeight="1">
      <c r="A131" s="6" t="s">
        <v>4</v>
      </c>
      <c r="B131" s="7" t="s">
        <v>5</v>
      </c>
      <c r="C131" s="7" t="s">
        <v>53</v>
      </c>
      <c r="D131" s="7" t="s">
        <v>54</v>
      </c>
      <c r="E131" s="7" t="s">
        <v>55</v>
      </c>
      <c r="F131" s="8" t="s">
        <v>56</v>
      </c>
      <c r="G131" s="7" t="s">
        <v>57</v>
      </c>
      <c r="H131" s="7" t="s">
        <v>58</v>
      </c>
      <c r="I131" s="7" t="s">
        <v>59</v>
      </c>
      <c r="J131" s="8" t="s">
        <v>60</v>
      </c>
      <c r="K131" s="7" t="s">
        <v>61</v>
      </c>
      <c r="L131" s="7" t="s">
        <v>62</v>
      </c>
      <c r="M131" s="7" t="s">
        <v>63</v>
      </c>
      <c r="N131" s="8" t="s">
        <v>64</v>
      </c>
    </row>
    <row r="132">
      <c r="A132" s="9">
        <v>1</v>
      </c>
      <c r="B132" s="10">
        <f>IF(INDEX(rngYear,A132+1)&lt;&gt;0,INDEX(rngYear,A132+1),"")</f>
        <v>1980</v>
      </c>
      <c r="C132" s="11">
        <f>IFERROR(INDEX(rngData,MATCH($B132,rngYear,0),MATCH(OFFSET(C132,-$A132,0),rngColumnNames,0)),"")</f>
        <v>235.512216</v>
      </c>
      <c r="D132" s="11">
        <f>IFERROR(INDEX(rngData,MATCH($B132,rngYear,0),MATCH(OFFSET(D132,-$A132,0),rngColumnNames,0)),"")</f>
        <v>229.521502</v>
      </c>
      <c r="E132" s="11">
        <f>IFERROR(INDEX(rngData,MATCH($B132,rngYear,0),MATCH(OFFSET(E132,-$A132,0),rngColumnNames,0)),"")</f>
        <v>242.146749</v>
      </c>
      <c r="F132" s="11">
        <f ref="F132:F163" t="shared" si="8">IFERROR(E132-D132,"")</f>
        <v>12.625247000000002</v>
      </c>
      <c r="G132" s="11">
        <f>IFERROR(INDEX(rngData,MATCH($B132,rngYear,0),MATCH(OFFSET(G132,-$A132,0),rngColumnNames,0)),"")</f>
        <v>0.512307</v>
      </c>
      <c r="H132" s="11">
        <f>IFERROR(INDEX(rngData,MATCH($B132,rngYear,0),MATCH(OFFSET(H132,-$A132,0),rngColumnNames,0)),"")</f>
        <v>0.499147</v>
      </c>
      <c r="I132" s="11">
        <f>IFERROR(INDEX(rngData,MATCH($B132,rngYear,0),MATCH(OFFSET(I132,-$A132,0),rngColumnNames,0)),"")</f>
        <v>0.526884</v>
      </c>
      <c r="J132" s="11">
        <f ref="J132:J163" t="shared" si="9">IFERROR(I132-H132,"")</f>
        <v>0.027737000000000012</v>
      </c>
      <c r="K132" s="11">
        <f>IFERROR(INDEX(rngData,MATCH($B132,rngYear,0),MATCH(OFFSET(K132,-$A132,0),rngColumnNames,0)),"")</f>
        <v>234.999909</v>
      </c>
      <c r="L132" s="11">
        <f>IFERROR(INDEX(rngData,MATCH($B132,rngYear,0),MATCH(OFFSET(L132,-$A132,0),rngColumnNames,0)),"")</f>
        <v>229.022355</v>
      </c>
      <c r="M132" s="11">
        <f>IFERROR(INDEX(rngData,MATCH($B132,rngYear,0),MATCH(OFFSET(M132,-$A132,0),rngColumnNames,0)),"")</f>
        <v>241.619758</v>
      </c>
      <c r="N132" s="11">
        <f ref="N132:N163" t="shared" si="10">IFERROR(M132-L132,"")</f>
        <v>12.597402999999986</v>
      </c>
    </row>
    <row r="133">
      <c r="A133" s="9">
        <f ref="A133:A164" t="shared" si="11">A132+1</f>
        <v>2</v>
      </c>
      <c r="B133" s="10">
        <f>IF(INDEX(rngYear,A133+1)&lt;&gt;0,INDEX(rngYear,A133+1),"")</f>
        <v>1981</v>
      </c>
      <c r="C133" s="11">
        <f>IFERROR(INDEX(rngData,MATCH($B133,rngYear,0),MATCH(OFFSET(C133,-$A133,0),rngColumnNames,0)),"")</f>
        <v>871.911837</v>
      </c>
      <c r="D133" s="11">
        <f>IFERROR(INDEX(rngData,MATCH($B133,rngYear,0),MATCH(OFFSET(D133,-$A133,0),rngColumnNames,0)),"")</f>
        <v>850.274441</v>
      </c>
      <c r="E133" s="11">
        <f>IFERROR(INDEX(rngData,MATCH($B133,rngYear,0),MATCH(OFFSET(E133,-$A133,0),rngColumnNames,0)),"")</f>
        <v>895.392057</v>
      </c>
      <c r="F133" s="11">
        <f t="shared" si="8"/>
        <v>45.117616</v>
      </c>
      <c r="G133" s="11">
        <f>IFERROR(INDEX(rngData,MATCH($B133,rngYear,0),MATCH(OFFSET(G133,-$A133,0),rngColumnNames,0)),"")</f>
        <v>5.70861</v>
      </c>
      <c r="H133" s="11">
        <f>IFERROR(INDEX(rngData,MATCH($B133,rngYear,0),MATCH(OFFSET(H133,-$A133,0),rngColumnNames,0)),"")</f>
        <v>5.530985</v>
      </c>
      <c r="I133" s="11">
        <f>IFERROR(INDEX(rngData,MATCH($B133,rngYear,0),MATCH(OFFSET(I133,-$A133,0),rngColumnNames,0)),"")</f>
        <v>5.904406</v>
      </c>
      <c r="J133" s="11">
        <f t="shared" si="9"/>
        <v>0.37342099999999956</v>
      </c>
      <c r="K133" s="15">
        <f>IFERROR(INDEX(rngData,MATCH($B133,rngYear,0),MATCH(OFFSET(K133,-$A133,0),rngColumnNames,0)),"")</f>
        <v>866.203227</v>
      </c>
      <c r="L133" s="15">
        <f>IFERROR(INDEX(rngData,MATCH($B133,rngYear,0),MATCH(OFFSET(L133,-$A133,0),rngColumnNames,0)),"")</f>
        <v>844.743455</v>
      </c>
      <c r="M133" s="15">
        <f>IFERROR(INDEX(rngData,MATCH($B133,rngYear,0),MATCH(OFFSET(M133,-$A133,0),rngColumnNames,0)),"")</f>
        <v>889.487651</v>
      </c>
      <c r="N133" s="15">
        <f t="shared" si="10"/>
        <v>44.744195999999988</v>
      </c>
    </row>
    <row r="134">
      <c r="A134" s="9">
        <f t="shared" si="11"/>
        <v>3</v>
      </c>
      <c r="B134" s="10">
        <f>IF(INDEX(rngYear,A134+1)&lt;&gt;0,INDEX(rngYear,A134+1),"")</f>
        <v>1982</v>
      </c>
      <c r="C134" s="11">
        <f>IFERROR(INDEX(rngData,MATCH($B134,rngYear,0),MATCH(OFFSET(C134,-$A134,0),rngColumnNames,0)),"")</f>
        <v>1815.713361</v>
      </c>
      <c r="D134" s="11">
        <f>IFERROR(INDEX(rngData,MATCH($B134,rngYear,0),MATCH(OFFSET(D134,-$A134,0),rngColumnNames,0)),"")</f>
        <v>1771.982457</v>
      </c>
      <c r="E134" s="11">
        <f>IFERROR(INDEX(rngData,MATCH($B134,rngYear,0),MATCH(OFFSET(E134,-$A134,0),rngColumnNames,0)),"")</f>
        <v>1862.835707</v>
      </c>
      <c r="F134" s="11">
        <f t="shared" si="8"/>
        <v>90.853249999999889</v>
      </c>
      <c r="G134" s="11">
        <f>IFERROR(INDEX(rngData,MATCH($B134,rngYear,0),MATCH(OFFSET(G134,-$A134,0),rngColumnNames,0)),"")</f>
        <v>29.068837</v>
      </c>
      <c r="H134" s="11">
        <f>IFERROR(INDEX(rngData,MATCH($B134,rngYear,0),MATCH(OFFSET(H134,-$A134,0),rngColumnNames,0)),"")</f>
        <v>28.313575</v>
      </c>
      <c r="I134" s="11">
        <f>IFERROR(INDEX(rngData,MATCH($B134,rngYear,0),MATCH(OFFSET(I134,-$A134,0),rngColumnNames,0)),"")</f>
        <v>29.890446</v>
      </c>
      <c r="J134" s="11">
        <f t="shared" si="9"/>
        <v>1.5768710000000006</v>
      </c>
      <c r="K134" s="15">
        <f>IFERROR(INDEX(rngData,MATCH($B134,rngYear,0),MATCH(OFFSET(K134,-$A134,0),rngColumnNames,0)),"")</f>
        <v>1786.644525</v>
      </c>
      <c r="L134" s="15">
        <f>IFERROR(INDEX(rngData,MATCH($B134,rngYear,0),MATCH(OFFSET(L134,-$A134,0),rngColumnNames,0)),"")</f>
        <v>1743.668883</v>
      </c>
      <c r="M134" s="15">
        <f>IFERROR(INDEX(rngData,MATCH($B134,rngYear,0),MATCH(OFFSET(M134,-$A134,0),rngColumnNames,0)),"")</f>
        <v>1832.946796</v>
      </c>
      <c r="N134" s="15">
        <f t="shared" si="10"/>
        <v>89.2779129999999</v>
      </c>
    </row>
    <row r="135">
      <c r="A135" s="9">
        <f t="shared" si="11"/>
        <v>4</v>
      </c>
      <c r="B135" s="10">
        <f>IF(INDEX(rngYear,A135+1)&lt;&gt;0,INDEX(rngYear,A135+1),"")</f>
        <v>1983</v>
      </c>
      <c r="C135" s="11">
        <f>IFERROR(INDEX(rngData,MATCH($B135,rngYear,0),MATCH(OFFSET(C135,-$A135,0),rngColumnNames,0)),"")</f>
        <v>2975.362399</v>
      </c>
      <c r="D135" s="11">
        <f>IFERROR(INDEX(rngData,MATCH($B135,rngYear,0),MATCH(OFFSET(D135,-$A135,0),rngColumnNames,0)),"")</f>
        <v>2905.925311</v>
      </c>
      <c r="E135" s="11">
        <f>IFERROR(INDEX(rngData,MATCH($B135,rngYear,0),MATCH(OFFSET(E135,-$A135,0),rngColumnNames,0)),"")</f>
        <v>3049.58086</v>
      </c>
      <c r="F135" s="11">
        <f t="shared" si="8"/>
        <v>143.65554900000007</v>
      </c>
      <c r="G135" s="11">
        <f>IFERROR(INDEX(rngData,MATCH($B135,rngYear,0),MATCH(OFFSET(G135,-$A135,0),rngColumnNames,0)),"")</f>
        <v>78.590514</v>
      </c>
      <c r="H135" s="11">
        <f>IFERROR(INDEX(rngData,MATCH($B135,rngYear,0),MATCH(OFFSET(H135,-$A135,0),rngColumnNames,0)),"")</f>
        <v>76.549612</v>
      </c>
      <c r="I135" s="11">
        <f>IFERROR(INDEX(rngData,MATCH($B135,rngYear,0),MATCH(OFFSET(I135,-$A135,0),rngColumnNames,0)),"")</f>
        <v>80.797121</v>
      </c>
      <c r="J135" s="11">
        <f t="shared" si="9"/>
        <v>4.247509000000008</v>
      </c>
      <c r="K135" s="15">
        <f>IFERROR(INDEX(rngData,MATCH($B135,rngYear,0),MATCH(OFFSET(K135,-$A135,0),rngColumnNames,0)),"")</f>
        <v>2896.771885</v>
      </c>
      <c r="L135" s="15">
        <f>IFERROR(INDEX(rngData,MATCH($B135,rngYear,0),MATCH(OFFSET(L135,-$A135,0),rngColumnNames,0)),"")</f>
        <v>2829.375699</v>
      </c>
      <c r="M135" s="15">
        <f>IFERROR(INDEX(rngData,MATCH($B135,rngYear,0),MATCH(OFFSET(M135,-$A135,0),rngColumnNames,0)),"")</f>
        <v>2968.905434</v>
      </c>
      <c r="N135" s="15">
        <f t="shared" si="10"/>
        <v>139.52973499999962</v>
      </c>
    </row>
    <row r="136">
      <c r="A136" s="9">
        <f t="shared" si="11"/>
        <v>5</v>
      </c>
      <c r="B136" s="10">
        <f>IF(INDEX(rngYear,A136+1)&lt;&gt;0,INDEX(rngYear,A136+1),"")</f>
        <v>1984</v>
      </c>
      <c r="C136" s="11">
        <f>IFERROR(INDEX(rngData,MATCH($B136,rngYear,0),MATCH(OFFSET(C136,-$A136,0),rngColumnNames,0)),"")</f>
        <v>4261.442875</v>
      </c>
      <c r="D136" s="11">
        <f>IFERROR(INDEX(rngData,MATCH($B136,rngYear,0),MATCH(OFFSET(D136,-$A136,0),rngColumnNames,0)),"")</f>
        <v>4165.06316</v>
      </c>
      <c r="E136" s="11">
        <f>IFERROR(INDEX(rngData,MATCH($B136,rngYear,0),MATCH(OFFSET(E136,-$A136,0),rngColumnNames,0)),"")</f>
        <v>4367.996953</v>
      </c>
      <c r="F136" s="11">
        <f t="shared" si="8"/>
        <v>202.93379300000015</v>
      </c>
      <c r="G136" s="11">
        <f>IFERROR(INDEX(rngData,MATCH($B136,rngYear,0),MATCH(OFFSET(G136,-$A136,0),rngColumnNames,0)),"")</f>
        <v>625.442448</v>
      </c>
      <c r="H136" s="11">
        <f>IFERROR(INDEX(rngData,MATCH($B136,rngYear,0),MATCH(OFFSET(H136,-$A136,0),rngColumnNames,0)),"")</f>
        <v>575.979823</v>
      </c>
      <c r="I136" s="11">
        <f>IFERROR(INDEX(rngData,MATCH($B136,rngYear,0),MATCH(OFFSET(I136,-$A136,0),rngColumnNames,0)),"")</f>
        <v>664.086795</v>
      </c>
      <c r="J136" s="11">
        <f t="shared" si="9"/>
        <v>88.106972000000042</v>
      </c>
      <c r="K136" s="15">
        <f>IFERROR(INDEX(rngData,MATCH($B136,rngYear,0),MATCH(OFFSET(K136,-$A136,0),rngColumnNames,0)),"")</f>
        <v>3636.000426</v>
      </c>
      <c r="L136" s="15">
        <f>IFERROR(INDEX(rngData,MATCH($B136,rngYear,0),MATCH(OFFSET(L136,-$A136,0),rngColumnNames,0)),"")</f>
        <v>3541.11499</v>
      </c>
      <c r="M136" s="15">
        <f>IFERROR(INDEX(rngData,MATCH($B136,rngYear,0),MATCH(OFFSET(M136,-$A136,0),rngColumnNames,0)),"")</f>
        <v>3748.645685</v>
      </c>
      <c r="N136" s="15">
        <f t="shared" si="10"/>
        <v>207.53069499999992</v>
      </c>
    </row>
    <row r="137">
      <c r="A137" s="9">
        <f t="shared" si="11"/>
        <v>6</v>
      </c>
      <c r="B137" s="10">
        <f>IF(INDEX(rngYear,A137+1)&lt;&gt;0,INDEX(rngYear,A137+1),"")</f>
        <v>1985</v>
      </c>
      <c r="C137" s="11">
        <f>IFERROR(INDEX(rngData,MATCH($B137,rngYear,0),MATCH(OFFSET(C137,-$A137,0),rngColumnNames,0)),"")</f>
        <v>5561.069922</v>
      </c>
      <c r="D137" s="11">
        <f>IFERROR(INDEX(rngData,MATCH($B137,rngYear,0),MATCH(OFFSET(D137,-$A137,0),rngColumnNames,0)),"")</f>
        <v>5437.260687</v>
      </c>
      <c r="E137" s="11">
        <f>IFERROR(INDEX(rngData,MATCH($B137,rngYear,0),MATCH(OFFSET(E137,-$A137,0),rngColumnNames,0)),"")</f>
        <v>5701.606803</v>
      </c>
      <c r="F137" s="11">
        <f t="shared" si="8"/>
        <v>264.34611599999971</v>
      </c>
      <c r="G137" s="11">
        <f>IFERROR(INDEX(rngData,MATCH($B137,rngYear,0),MATCH(OFFSET(G137,-$A137,0),rngColumnNames,0)),"")</f>
        <v>1269.231294</v>
      </c>
      <c r="H137" s="11">
        <f>IFERROR(INDEX(rngData,MATCH($B137,rngYear,0),MATCH(OFFSET(H137,-$A137,0),rngColumnNames,0)),"")</f>
        <v>1177.225251</v>
      </c>
      <c r="I137" s="11">
        <f>IFERROR(INDEX(rngData,MATCH($B137,rngYear,0),MATCH(OFFSET(I137,-$A137,0),rngColumnNames,0)),"")</f>
        <v>1343.916695</v>
      </c>
      <c r="J137" s="11">
        <f t="shared" si="9"/>
        <v>166.69144399999982</v>
      </c>
      <c r="K137" s="15">
        <f>IFERROR(INDEX(rngData,MATCH($B137,rngYear,0),MATCH(OFFSET(K137,-$A137,0),rngColumnNames,0)),"")</f>
        <v>4291.838628</v>
      </c>
      <c r="L137" s="15">
        <f>IFERROR(INDEX(rngData,MATCH($B137,rngYear,0),MATCH(OFFSET(L137,-$A137,0),rngColumnNames,0)),"")</f>
        <v>4170.221808</v>
      </c>
      <c r="M137" s="15">
        <f>IFERROR(INDEX(rngData,MATCH($B137,rngYear,0),MATCH(OFFSET(M137,-$A137,0),rngColumnNames,0)),"")</f>
        <v>4451.488134</v>
      </c>
      <c r="N137" s="15">
        <f t="shared" si="10"/>
        <v>281.26632599999994</v>
      </c>
    </row>
    <row r="138">
      <c r="A138" s="9">
        <f t="shared" si="11"/>
        <v>7</v>
      </c>
      <c r="B138" s="10">
        <f>IF(INDEX(rngYear,A138+1)&lt;&gt;0,INDEX(rngYear,A138+1),"")</f>
        <v>1986</v>
      </c>
      <c r="C138" s="11">
        <f>IFERROR(INDEX(rngData,MATCH($B138,rngYear,0),MATCH(OFFSET(C138,-$A138,0),rngColumnNames,0)),"")</f>
        <v>6782.683575</v>
      </c>
      <c r="D138" s="11">
        <f>IFERROR(INDEX(rngData,MATCH($B138,rngYear,0),MATCH(OFFSET(D138,-$A138,0),rngColumnNames,0)),"")</f>
        <v>6631.6563</v>
      </c>
      <c r="E138" s="11">
        <f>IFERROR(INDEX(rngData,MATCH($B138,rngYear,0),MATCH(OFFSET(E138,-$A138,0),rngColumnNames,0)),"")</f>
        <v>6957.279686</v>
      </c>
      <c r="F138" s="11">
        <f t="shared" si="8"/>
        <v>325.62338600000021</v>
      </c>
      <c r="G138" s="11">
        <f>IFERROR(INDEX(rngData,MATCH($B138,rngYear,0),MATCH(OFFSET(G138,-$A138,0),rngColumnNames,0)),"")</f>
        <v>2001.527845</v>
      </c>
      <c r="H138" s="11">
        <f>IFERROR(INDEX(rngData,MATCH($B138,rngYear,0),MATCH(OFFSET(H138,-$A138,0),rngColumnNames,0)),"")</f>
        <v>1871.050906</v>
      </c>
      <c r="I138" s="11">
        <f>IFERROR(INDEX(rngData,MATCH($B138,rngYear,0),MATCH(OFFSET(I138,-$A138,0),rngColumnNames,0)),"")</f>
        <v>2109.337885</v>
      </c>
      <c r="J138" s="11">
        <f t="shared" si="9"/>
        <v>238.28697899999997</v>
      </c>
      <c r="K138" s="15">
        <f>IFERROR(INDEX(rngData,MATCH($B138,rngYear,0),MATCH(OFFSET(K138,-$A138,0),rngColumnNames,0)),"")</f>
        <v>4781.15573</v>
      </c>
      <c r="L138" s="15">
        <f>IFERROR(INDEX(rngData,MATCH($B138,rngYear,0),MATCH(OFFSET(L138,-$A138,0),rngColumnNames,0)),"")</f>
        <v>4631.822244</v>
      </c>
      <c r="M138" s="15">
        <f>IFERROR(INDEX(rngData,MATCH($B138,rngYear,0),MATCH(OFFSET(M138,-$A138,0),rngColumnNames,0)),"")</f>
        <v>4971.784612</v>
      </c>
      <c r="N138" s="15">
        <f t="shared" si="10"/>
        <v>339.96236800000042</v>
      </c>
    </row>
    <row r="139">
      <c r="A139" s="9">
        <f t="shared" si="11"/>
        <v>8</v>
      </c>
      <c r="B139" s="10">
        <f>IF(INDEX(rngYear,A139+1)&lt;&gt;0,INDEX(rngYear,A139+1),"")</f>
        <v>1987</v>
      </c>
      <c r="C139" s="11">
        <f>IFERROR(INDEX(rngData,MATCH($B139,rngYear,0),MATCH(OFFSET(C139,-$A139,0),rngColumnNames,0)),"")</f>
        <v>7913.78441</v>
      </c>
      <c r="D139" s="11">
        <f>IFERROR(INDEX(rngData,MATCH($B139,rngYear,0),MATCH(OFFSET(D139,-$A139,0),rngColumnNames,0)),"")</f>
        <v>7746.285479</v>
      </c>
      <c r="E139" s="11">
        <f>IFERROR(INDEX(rngData,MATCH($B139,rngYear,0),MATCH(OFFSET(E139,-$A139,0),rngColumnNames,0)),"")</f>
        <v>8121.173339</v>
      </c>
      <c r="F139" s="11">
        <f t="shared" si="8"/>
        <v>374.88785999999982</v>
      </c>
      <c r="G139" s="11">
        <f>IFERROR(INDEX(rngData,MATCH($B139,rngYear,0),MATCH(OFFSET(G139,-$A139,0),rngColumnNames,0)),"")</f>
        <v>2842.669768</v>
      </c>
      <c r="H139" s="11">
        <f>IFERROR(INDEX(rngData,MATCH($B139,rngYear,0),MATCH(OFFSET(H139,-$A139,0),rngColumnNames,0)),"")</f>
        <v>2667.8321</v>
      </c>
      <c r="I139" s="11">
        <f>IFERROR(INDEX(rngData,MATCH($B139,rngYear,0),MATCH(OFFSET(I139,-$A139,0),rngColumnNames,0)),"")</f>
        <v>2978.749887</v>
      </c>
      <c r="J139" s="11">
        <f t="shared" si="9"/>
        <v>310.91778699999986</v>
      </c>
      <c r="K139" s="15">
        <f>IFERROR(INDEX(rngData,MATCH($B139,rngYear,0),MATCH(OFFSET(K139,-$A139,0),rngColumnNames,0)),"")</f>
        <v>5071.114642</v>
      </c>
      <c r="L139" s="15">
        <f>IFERROR(INDEX(rngData,MATCH($B139,rngYear,0),MATCH(OFFSET(L139,-$A139,0),rngColumnNames,0)),"")</f>
        <v>4896.392958</v>
      </c>
      <c r="M139" s="15">
        <f>IFERROR(INDEX(rngData,MATCH($B139,rngYear,0),MATCH(OFFSET(M139,-$A139,0),rngColumnNames,0)),"")</f>
        <v>5280.182331</v>
      </c>
      <c r="N139" s="15">
        <f t="shared" si="10"/>
        <v>383.78937299999961</v>
      </c>
    </row>
    <row r="140">
      <c r="A140" s="9">
        <f t="shared" si="11"/>
        <v>9</v>
      </c>
      <c r="B140" s="10">
        <f>IF(INDEX(rngYear,A140+1)&lt;&gt;0,INDEX(rngYear,A140+1),"")</f>
        <v>1988</v>
      </c>
      <c r="C140" s="11">
        <f>IFERROR(INDEX(rngData,MATCH($B140,rngYear,0),MATCH(OFFSET(C140,-$A140,0),rngColumnNames,0)),"")</f>
        <v>8933.437929</v>
      </c>
      <c r="D140" s="11">
        <f>IFERROR(INDEX(rngData,MATCH($B140,rngYear,0),MATCH(OFFSET(D140,-$A140,0),rngColumnNames,0)),"")</f>
        <v>8752.952973</v>
      </c>
      <c r="E140" s="11">
        <f>IFERROR(INDEX(rngData,MATCH($B140,rngYear,0),MATCH(OFFSET(E140,-$A140,0),rngColumnNames,0)),"")</f>
        <v>9158.337686</v>
      </c>
      <c r="F140" s="11">
        <f t="shared" si="8"/>
        <v>405.38471300000128</v>
      </c>
      <c r="G140" s="11">
        <f>IFERROR(INDEX(rngData,MATCH($B140,rngYear,0),MATCH(OFFSET(G140,-$A140,0),rngColumnNames,0)),"")</f>
        <v>3774.233734</v>
      </c>
      <c r="H140" s="11">
        <f>IFERROR(INDEX(rngData,MATCH($B140,rngYear,0),MATCH(OFFSET(H140,-$A140,0),rngColumnNames,0)),"")</f>
        <v>3558.93316</v>
      </c>
      <c r="I140" s="11">
        <f>IFERROR(INDEX(rngData,MATCH($B140,rngYear,0),MATCH(OFFSET(I140,-$A140,0),rngColumnNames,0)),"")</f>
        <v>3932.643419</v>
      </c>
      <c r="J140" s="11">
        <f t="shared" si="9"/>
        <v>373.71025899999995</v>
      </c>
      <c r="K140" s="15">
        <f>IFERROR(INDEX(rngData,MATCH($B140,rngYear,0),MATCH(OFFSET(K140,-$A140,0),rngColumnNames,0)),"")</f>
        <v>5159.204195</v>
      </c>
      <c r="L140" s="15">
        <f>IFERROR(INDEX(rngData,MATCH($B140,rngYear,0),MATCH(OFFSET(L140,-$A140,0),rngColumnNames,0)),"")</f>
        <v>4955.739234</v>
      </c>
      <c r="M140" s="15">
        <f>IFERROR(INDEX(rngData,MATCH($B140,rngYear,0),MATCH(OFFSET(M140,-$A140,0),rngColumnNames,0)),"")</f>
        <v>5388.245355</v>
      </c>
      <c r="N140" s="15">
        <f t="shared" si="10"/>
        <v>432.50612100000035</v>
      </c>
    </row>
    <row r="141">
      <c r="A141" s="9">
        <f t="shared" si="11"/>
        <v>10</v>
      </c>
      <c r="B141" s="10">
        <f>IF(INDEX(rngYear,A141+1)&lt;&gt;0,INDEX(rngYear,A141+1),"")</f>
        <v>1989</v>
      </c>
      <c r="C141" s="11">
        <f>IFERROR(INDEX(rngData,MATCH($B141,rngYear,0),MATCH(OFFSET(C141,-$A141,0),rngColumnNames,0)),"")</f>
        <v>9647.174451</v>
      </c>
      <c r="D141" s="11">
        <f>IFERROR(INDEX(rngData,MATCH($B141,rngYear,0),MATCH(OFFSET(D141,-$A141,0),rngColumnNames,0)),"")</f>
        <v>9431.205833</v>
      </c>
      <c r="E141" s="11">
        <f>IFERROR(INDEX(rngData,MATCH($B141,rngYear,0),MATCH(OFFSET(E141,-$A141,0),rngColumnNames,0)),"")</f>
        <v>9867.898821</v>
      </c>
      <c r="F141" s="11">
        <f t="shared" si="8"/>
        <v>436.6929880000007</v>
      </c>
      <c r="G141" s="11">
        <f>IFERROR(INDEX(rngData,MATCH($B141,rngYear,0),MATCH(OFFSET(G141,-$A141,0),rngColumnNames,0)),"")</f>
        <v>4583.659222</v>
      </c>
      <c r="H141" s="11">
        <f>IFERROR(INDEX(rngData,MATCH($B141,rngYear,0),MATCH(OFFSET(H141,-$A141,0),rngColumnNames,0)),"")</f>
        <v>4346.870375</v>
      </c>
      <c r="I141" s="11">
        <f>IFERROR(INDEX(rngData,MATCH($B141,rngYear,0),MATCH(OFFSET(I141,-$A141,0),rngColumnNames,0)),"")</f>
        <v>4766.380547</v>
      </c>
      <c r="J141" s="11">
        <f t="shared" si="9"/>
        <v>419.51017199999933</v>
      </c>
      <c r="K141" s="15">
        <f>IFERROR(INDEX(rngData,MATCH($B141,rngYear,0),MATCH(OFFSET(K141,-$A141,0),rngColumnNames,0)),"")</f>
        <v>5063.515229</v>
      </c>
      <c r="L141" s="15">
        <f>IFERROR(INDEX(rngData,MATCH($B141,rngYear,0),MATCH(OFFSET(L141,-$A141,0),rngColumnNames,0)),"")</f>
        <v>4856.621305</v>
      </c>
      <c r="M141" s="15">
        <f>IFERROR(INDEX(rngData,MATCH($B141,rngYear,0),MATCH(OFFSET(M141,-$A141,0),rngColumnNames,0)),"")</f>
        <v>5294.220452</v>
      </c>
      <c r="N141" s="15">
        <f t="shared" si="10"/>
        <v>437.5991469999999</v>
      </c>
    </row>
    <row r="142">
      <c r="A142" s="9">
        <f t="shared" si="11"/>
        <v>11</v>
      </c>
      <c r="B142" s="10">
        <f>IF(INDEX(rngYear,A142+1)&lt;&gt;0,INDEX(rngYear,A142+1),"")</f>
        <v>1990</v>
      </c>
      <c r="C142" s="11">
        <f>IFERROR(INDEX(rngData,MATCH($B142,rngYear,0),MATCH(OFFSET(C142,-$A142,0),rngColumnNames,0)),"")</f>
        <v>10104.259388</v>
      </c>
      <c r="D142" s="11">
        <f>IFERROR(INDEX(rngData,MATCH($B142,rngYear,0),MATCH(OFFSET(D142,-$A142,0),rngColumnNames,0)),"")</f>
        <v>9853.926814</v>
      </c>
      <c r="E142" s="11">
        <f>IFERROR(INDEX(rngData,MATCH($B142,rngYear,0),MATCH(OFFSET(E142,-$A142,0),rngColumnNames,0)),"")</f>
        <v>10309.517159</v>
      </c>
      <c r="F142" s="11">
        <f t="shared" si="8"/>
        <v>455.59034500000053</v>
      </c>
      <c r="G142" s="11">
        <f>IFERROR(INDEX(rngData,MATCH($B142,rngYear,0),MATCH(OFFSET(G142,-$A142,0),rngColumnNames,0)),"")</f>
        <v>5288.482985</v>
      </c>
      <c r="H142" s="11">
        <f>IFERROR(INDEX(rngData,MATCH($B142,rngYear,0),MATCH(OFFSET(H142,-$A142,0),rngColumnNames,0)),"")</f>
        <v>5025.987126</v>
      </c>
      <c r="I142" s="11">
        <f>IFERROR(INDEX(rngData,MATCH($B142,rngYear,0),MATCH(OFFSET(I142,-$A142,0),rngColumnNames,0)),"")</f>
        <v>5496.02585</v>
      </c>
      <c r="J142" s="11">
        <f t="shared" si="9"/>
        <v>470.038724</v>
      </c>
      <c r="K142" s="15">
        <f>IFERROR(INDEX(rngData,MATCH($B142,rngYear,0),MATCH(OFFSET(K142,-$A142,0),rngColumnNames,0)),"")</f>
        <v>4815.776403</v>
      </c>
      <c r="L142" s="15">
        <f>IFERROR(INDEX(rngData,MATCH($B142,rngYear,0),MATCH(OFFSET(L142,-$A142,0),rngColumnNames,0)),"")</f>
        <v>4615.622515</v>
      </c>
      <c r="M142" s="15">
        <f>IFERROR(INDEX(rngData,MATCH($B142,rngYear,0),MATCH(OFFSET(M142,-$A142,0),rngColumnNames,0)),"")</f>
        <v>5028.118252</v>
      </c>
      <c r="N142" s="15">
        <f t="shared" si="10"/>
        <v>412.49573700000019</v>
      </c>
    </row>
    <row r="143">
      <c r="A143" s="9">
        <f t="shared" si="11"/>
        <v>12</v>
      </c>
      <c r="B143" s="10">
        <f>IF(INDEX(rngYear,A143+1)&lt;&gt;0,INDEX(rngYear,A143+1),"")</f>
        <v>1991</v>
      </c>
      <c r="C143" s="11">
        <f>IFERROR(INDEX(rngData,MATCH($B143,rngYear,0),MATCH(OFFSET(C143,-$A143,0),rngColumnNames,0)),"")</f>
        <v>10365.061793</v>
      </c>
      <c r="D143" s="11">
        <f>IFERROR(INDEX(rngData,MATCH($B143,rngYear,0),MATCH(OFFSET(D143,-$A143,0),rngColumnNames,0)),"")</f>
        <v>10098.61904</v>
      </c>
      <c r="E143" s="11">
        <f>IFERROR(INDEX(rngData,MATCH($B143,rngYear,0),MATCH(OFFSET(E143,-$A143,0),rngColumnNames,0)),"")</f>
        <v>10587.860829</v>
      </c>
      <c r="F143" s="11">
        <f t="shared" si="8"/>
        <v>489.2417889999997</v>
      </c>
      <c r="G143" s="11">
        <f>IFERROR(INDEX(rngData,MATCH($B143,rngYear,0),MATCH(OFFSET(G143,-$A143,0),rngColumnNames,0)),"")</f>
        <v>5909.441614</v>
      </c>
      <c r="H143" s="11">
        <f>IFERROR(INDEX(rngData,MATCH($B143,rngYear,0),MATCH(OFFSET(H143,-$A143,0),rngColumnNames,0)),"")</f>
        <v>5647.773213</v>
      </c>
      <c r="I143" s="11">
        <f>IFERROR(INDEX(rngData,MATCH($B143,rngYear,0),MATCH(OFFSET(I143,-$A143,0),rngColumnNames,0)),"")</f>
        <v>6144.544709</v>
      </c>
      <c r="J143" s="11">
        <f t="shared" si="9"/>
        <v>496.77149599999939</v>
      </c>
      <c r="K143" s="15">
        <f>IFERROR(INDEX(rngData,MATCH($B143,rngYear,0),MATCH(OFFSET(K143,-$A143,0),rngColumnNames,0)),"")</f>
        <v>4455.620179</v>
      </c>
      <c r="L143" s="15">
        <f>IFERROR(INDEX(rngData,MATCH($B143,rngYear,0),MATCH(OFFSET(L143,-$A143,0),rngColumnNames,0)),"")</f>
        <v>4244.016606</v>
      </c>
      <c r="M143" s="15">
        <f>IFERROR(INDEX(rngData,MATCH($B143,rngYear,0),MATCH(OFFSET(M143,-$A143,0),rngColumnNames,0)),"")</f>
        <v>4658.806004</v>
      </c>
      <c r="N143" s="15">
        <f t="shared" si="10"/>
        <v>414.78939799999989</v>
      </c>
    </row>
    <row r="144">
      <c r="A144" s="9">
        <f t="shared" si="11"/>
        <v>13</v>
      </c>
      <c r="B144" s="10">
        <f>IF(INDEX(rngYear,A144+1)&lt;&gt;0,INDEX(rngYear,A144+1),"")</f>
        <v>1992</v>
      </c>
      <c r="C144" s="11">
        <f>IFERROR(INDEX(rngData,MATCH($B144,rngYear,0),MATCH(OFFSET(C144,-$A144,0),rngColumnNames,0)),"")</f>
        <v>10456.218985</v>
      </c>
      <c r="D144" s="11">
        <f>IFERROR(INDEX(rngData,MATCH($B144,rngYear,0),MATCH(OFFSET(D144,-$A144,0),rngColumnNames,0)),"")</f>
        <v>10177.343743</v>
      </c>
      <c r="E144" s="11">
        <f>IFERROR(INDEX(rngData,MATCH($B144,rngYear,0),MATCH(OFFSET(E144,-$A144,0),rngColumnNames,0)),"")</f>
        <v>10694.142299</v>
      </c>
      <c r="F144" s="11">
        <f t="shared" si="8"/>
        <v>516.79855599999973</v>
      </c>
      <c r="G144" s="11">
        <f>IFERROR(INDEX(rngData,MATCH($B144,rngYear,0),MATCH(OFFSET(G144,-$A144,0),rngColumnNames,0)),"")</f>
        <v>6430.26647</v>
      </c>
      <c r="H144" s="11">
        <f>IFERROR(INDEX(rngData,MATCH($B144,rngYear,0),MATCH(OFFSET(H144,-$A144,0),rngColumnNames,0)),"")</f>
        <v>6166.682825</v>
      </c>
      <c r="I144" s="11">
        <f>IFERROR(INDEX(rngData,MATCH($B144,rngYear,0),MATCH(OFFSET(I144,-$A144,0),rngColumnNames,0)),"")</f>
        <v>6700.272085</v>
      </c>
      <c r="J144" s="11">
        <f t="shared" si="9"/>
        <v>533.58925999999974</v>
      </c>
      <c r="K144" s="15">
        <f>IFERROR(INDEX(rngData,MATCH($B144,rngYear,0),MATCH(OFFSET(K144,-$A144,0),rngColumnNames,0)),"")</f>
        <v>4025.952515</v>
      </c>
      <c r="L144" s="15">
        <f>IFERROR(INDEX(rngData,MATCH($B144,rngYear,0),MATCH(OFFSET(L144,-$A144,0),rngColumnNames,0)),"")</f>
        <v>3826.903959</v>
      </c>
      <c r="M144" s="15">
        <f>IFERROR(INDEX(rngData,MATCH($B144,rngYear,0),MATCH(OFFSET(M144,-$A144,0),rngColumnNames,0)),"")</f>
        <v>4225.263296</v>
      </c>
      <c r="N144" s="15">
        <f t="shared" si="10"/>
        <v>398.35933699999987</v>
      </c>
    </row>
    <row r="145">
      <c r="A145" s="9">
        <f t="shared" si="11"/>
        <v>14</v>
      </c>
      <c r="B145" s="10">
        <f>IF(INDEX(rngYear,A145+1)&lt;&gt;0,INDEX(rngYear,A145+1),"")</f>
        <v>1993</v>
      </c>
      <c r="C145" s="11">
        <f>IFERROR(INDEX(rngData,MATCH($B145,rngYear,0),MATCH(OFFSET(C145,-$A145,0),rngColumnNames,0)),"")</f>
        <v>10337.683141</v>
      </c>
      <c r="D145" s="11">
        <f>IFERROR(INDEX(rngData,MATCH($B145,rngYear,0),MATCH(OFFSET(D145,-$A145,0),rngColumnNames,0)),"")</f>
        <v>10049.898752</v>
      </c>
      <c r="E145" s="11">
        <f>IFERROR(INDEX(rngData,MATCH($B145,rngYear,0),MATCH(OFFSET(E145,-$A145,0),rngColumnNames,0)),"")</f>
        <v>10588.202494</v>
      </c>
      <c r="F145" s="11">
        <f t="shared" si="8"/>
        <v>538.303742</v>
      </c>
      <c r="G145" s="11">
        <f>IFERROR(INDEX(rngData,MATCH($B145,rngYear,0),MATCH(OFFSET(G145,-$A145,0),rngColumnNames,0)),"")</f>
        <v>6760.684891</v>
      </c>
      <c r="H145" s="11">
        <f>IFERROR(INDEX(rngData,MATCH($B145,rngYear,0),MATCH(OFFSET(H145,-$A145,0),rngColumnNames,0)),"")</f>
        <v>6488.573834</v>
      </c>
      <c r="I145" s="11">
        <f>IFERROR(INDEX(rngData,MATCH($B145,rngYear,0),MATCH(OFFSET(I145,-$A145,0),rngColumnNames,0)),"")</f>
        <v>7049.926347</v>
      </c>
      <c r="J145" s="11">
        <f t="shared" si="9"/>
        <v>561.35251299999982</v>
      </c>
      <c r="K145" s="15">
        <f>IFERROR(INDEX(rngData,MATCH($B145,rngYear,0),MATCH(OFFSET(K145,-$A145,0),rngColumnNames,0)),"")</f>
        <v>3576.99825</v>
      </c>
      <c r="L145" s="15">
        <f>IFERROR(INDEX(rngData,MATCH($B145,rngYear,0),MATCH(OFFSET(L145,-$A145,0),rngColumnNames,0)),"")</f>
        <v>3401.527162</v>
      </c>
      <c r="M145" s="15">
        <f>IFERROR(INDEX(rngData,MATCH($B145,rngYear,0),MATCH(OFFSET(M145,-$A145,0),rngColumnNames,0)),"")</f>
        <v>3744.8164</v>
      </c>
      <c r="N145" s="15">
        <f t="shared" si="10"/>
        <v>343.2892380000003</v>
      </c>
    </row>
    <row r="146">
      <c r="A146" s="9">
        <f t="shared" si="11"/>
        <v>15</v>
      </c>
      <c r="B146" s="10">
        <f>IF(INDEX(rngYear,A146+1)&lt;&gt;0,INDEX(rngYear,A146+1),"")</f>
        <v>1994</v>
      </c>
      <c r="C146" s="11">
        <f>IFERROR(INDEX(rngData,MATCH($B146,rngYear,0),MATCH(OFFSET(C146,-$A146,0),rngColumnNames,0)),"")</f>
        <v>10063.449152</v>
      </c>
      <c r="D146" s="11">
        <f>IFERROR(INDEX(rngData,MATCH($B146,rngYear,0),MATCH(OFFSET(D146,-$A146,0),rngColumnNames,0)),"")</f>
        <v>9779.026311</v>
      </c>
      <c r="E146" s="11">
        <f>IFERROR(INDEX(rngData,MATCH($B146,rngYear,0),MATCH(OFFSET(E146,-$A146,0),rngColumnNames,0)),"")</f>
        <v>10324.030937</v>
      </c>
      <c r="F146" s="11">
        <f t="shared" si="8"/>
        <v>545.00462599999992</v>
      </c>
      <c r="G146" s="11">
        <f>IFERROR(INDEX(rngData,MATCH($B146,rngYear,0),MATCH(OFFSET(G146,-$A146,0),rngColumnNames,0)),"")</f>
        <v>6911.496934</v>
      </c>
      <c r="H146" s="11">
        <f>IFERROR(INDEX(rngData,MATCH($B146,rngYear,0),MATCH(OFFSET(H146,-$A146,0),rngColumnNames,0)),"")</f>
        <v>6639.697561</v>
      </c>
      <c r="I146" s="11">
        <f>IFERROR(INDEX(rngData,MATCH($B146,rngYear,0),MATCH(OFFSET(I146,-$A146,0),rngColumnNames,0)),"")</f>
        <v>7201.70147</v>
      </c>
      <c r="J146" s="11">
        <f t="shared" si="9"/>
        <v>562.003909</v>
      </c>
      <c r="K146" s="15">
        <f>IFERROR(INDEX(rngData,MATCH($B146,rngYear,0),MATCH(OFFSET(K146,-$A146,0),rngColumnNames,0)),"")</f>
        <v>3151.952218</v>
      </c>
      <c r="L146" s="15">
        <f>IFERROR(INDEX(rngData,MATCH($B146,rngYear,0),MATCH(OFFSET(L146,-$A146,0),rngColumnNames,0)),"")</f>
        <v>2975.125802</v>
      </c>
      <c r="M146" s="15">
        <f>IFERROR(INDEX(rngData,MATCH($B146,rngYear,0),MATCH(OFFSET(M146,-$A146,0),rngColumnNames,0)),"")</f>
        <v>3307.545774</v>
      </c>
      <c r="N146" s="15">
        <f t="shared" si="10"/>
        <v>332.41997200000014</v>
      </c>
    </row>
    <row r="147">
      <c r="A147" s="9">
        <f t="shared" si="11"/>
        <v>16</v>
      </c>
      <c r="B147" s="10">
        <f>IF(INDEX(rngYear,A147+1)&lt;&gt;0,INDEX(rngYear,A147+1),"")</f>
        <v>1995</v>
      </c>
      <c r="C147" s="11">
        <f>IFERROR(INDEX(rngData,MATCH($B147,rngYear,0),MATCH(OFFSET(C147,-$A147,0),rngColumnNames,0)),"")</f>
        <v>9846.852823</v>
      </c>
      <c r="D147" s="11">
        <f>IFERROR(INDEX(rngData,MATCH($B147,rngYear,0),MATCH(OFFSET(D147,-$A147,0),rngColumnNames,0)),"")</f>
        <v>9577.169434</v>
      </c>
      <c r="E147" s="11">
        <f>IFERROR(INDEX(rngData,MATCH($B147,rngYear,0),MATCH(OFFSET(E147,-$A147,0),rngColumnNames,0)),"")</f>
        <v>10115.059119</v>
      </c>
      <c r="F147" s="11">
        <f t="shared" si="8"/>
        <v>537.8896850000001</v>
      </c>
      <c r="G147" s="11">
        <f>IFERROR(INDEX(rngData,MATCH($B147,rngYear,0),MATCH(OFFSET(G147,-$A147,0),rngColumnNames,0)),"")</f>
        <v>7069.811746</v>
      </c>
      <c r="H147" s="11">
        <f>IFERROR(INDEX(rngData,MATCH($B147,rngYear,0),MATCH(OFFSET(H147,-$A147,0),rngColumnNames,0)),"")</f>
        <v>6816.957482</v>
      </c>
      <c r="I147" s="11">
        <f>IFERROR(INDEX(rngData,MATCH($B147,rngYear,0),MATCH(OFFSET(I147,-$A147,0),rngColumnNames,0)),"")</f>
        <v>7353.89653</v>
      </c>
      <c r="J147" s="11">
        <f t="shared" si="9"/>
        <v>536.93904800000018</v>
      </c>
      <c r="K147" s="15">
        <f>IFERROR(INDEX(rngData,MATCH($B147,rngYear,0),MATCH(OFFSET(K147,-$A147,0),rngColumnNames,0)),"")</f>
        <v>2777.041078</v>
      </c>
      <c r="L147" s="15">
        <f>IFERROR(INDEX(rngData,MATCH($B147,rngYear,0),MATCH(OFFSET(L147,-$A147,0),rngColumnNames,0)),"")</f>
        <v>2623.898868</v>
      </c>
      <c r="M147" s="15">
        <f>IFERROR(INDEX(rngData,MATCH($B147,rngYear,0),MATCH(OFFSET(M147,-$A147,0),rngColumnNames,0)),"")</f>
        <v>2923.364697</v>
      </c>
      <c r="N147" s="15">
        <f t="shared" si="10"/>
        <v>299.46582899999976</v>
      </c>
    </row>
    <row r="148">
      <c r="A148" s="9">
        <f t="shared" si="11"/>
        <v>17</v>
      </c>
      <c r="B148" s="10">
        <f>IF(INDEX(rngYear,A148+1)&lt;&gt;0,INDEX(rngYear,A148+1),"")</f>
        <v>1996</v>
      </c>
      <c r="C148" s="11">
        <f>IFERROR(INDEX(rngData,MATCH($B148,rngYear,0),MATCH(OFFSET(C148,-$A148,0),rngColumnNames,0)),"")</f>
        <v>9757.878632</v>
      </c>
      <c r="D148" s="11">
        <f>IFERROR(INDEX(rngData,MATCH($B148,rngYear,0),MATCH(OFFSET(D148,-$A148,0),rngColumnNames,0)),"")</f>
        <v>9488.187688</v>
      </c>
      <c r="E148" s="11">
        <f>IFERROR(INDEX(rngData,MATCH($B148,rngYear,0),MATCH(OFFSET(E148,-$A148,0),rngColumnNames,0)),"")</f>
        <v>10046.752714</v>
      </c>
      <c r="F148" s="11">
        <f t="shared" si="8"/>
        <v>558.56502600000022</v>
      </c>
      <c r="G148" s="11">
        <f>IFERROR(INDEX(rngData,MATCH($B148,rngYear,0),MATCH(OFFSET(G148,-$A148,0),rngColumnNames,0)),"")</f>
        <v>7290.940593</v>
      </c>
      <c r="H148" s="11">
        <f>IFERROR(INDEX(rngData,MATCH($B148,rngYear,0),MATCH(OFFSET(H148,-$A148,0),rngColumnNames,0)),"")</f>
        <v>7063.970243</v>
      </c>
      <c r="I148" s="11">
        <f>IFERROR(INDEX(rngData,MATCH($B148,rngYear,0),MATCH(OFFSET(I148,-$A148,0),rngColumnNames,0)),"")</f>
        <v>7568.439257</v>
      </c>
      <c r="J148" s="11">
        <f t="shared" si="9"/>
        <v>504.46901400000024</v>
      </c>
      <c r="K148" s="15">
        <f>IFERROR(INDEX(rngData,MATCH($B148,rngYear,0),MATCH(OFFSET(K148,-$A148,0),rngColumnNames,0)),"")</f>
        <v>2466.938039</v>
      </c>
      <c r="L148" s="15">
        <f>IFERROR(INDEX(rngData,MATCH($B148,rngYear,0),MATCH(OFFSET(L148,-$A148,0),rngColumnNames,0)),"")</f>
        <v>2345.271853</v>
      </c>
      <c r="M148" s="15">
        <f>IFERROR(INDEX(rngData,MATCH($B148,rngYear,0),MATCH(OFFSET(M148,-$A148,0),rngColumnNames,0)),"")</f>
        <v>2598.468524</v>
      </c>
      <c r="N148" s="15">
        <f t="shared" si="10"/>
        <v>253.1966709999997</v>
      </c>
    </row>
    <row r="149">
      <c r="A149" s="9">
        <f t="shared" si="11"/>
        <v>18</v>
      </c>
      <c r="B149" s="10">
        <f>IF(INDEX(rngYear,A149+1)&lt;&gt;0,INDEX(rngYear,A149+1),"")</f>
        <v>1997</v>
      </c>
      <c r="C149" s="11">
        <f>IFERROR(INDEX(rngData,MATCH($B149,rngYear,0),MATCH(OFFSET(C149,-$A149,0),rngColumnNames,0)),"")</f>
        <v>9980.534238</v>
      </c>
      <c r="D149" s="11">
        <f>IFERROR(INDEX(rngData,MATCH($B149,rngYear,0),MATCH(OFFSET(D149,-$A149,0),rngColumnNames,0)),"")</f>
        <v>9704.036582</v>
      </c>
      <c r="E149" s="11">
        <f>IFERROR(INDEX(rngData,MATCH($B149,rngYear,0),MATCH(OFFSET(E149,-$A149,0),rngColumnNames,0)),"")</f>
        <v>10288.212062</v>
      </c>
      <c r="F149" s="11">
        <f t="shared" si="8"/>
        <v>584.17547999999988</v>
      </c>
      <c r="G149" s="11">
        <f>IFERROR(INDEX(rngData,MATCH($B149,rngYear,0),MATCH(OFFSET(G149,-$A149,0),rngColumnNames,0)),"")</f>
        <v>7753.460255</v>
      </c>
      <c r="H149" s="11">
        <f>IFERROR(INDEX(rngData,MATCH($B149,rngYear,0),MATCH(OFFSET(H149,-$A149,0),rngColumnNames,0)),"")</f>
        <v>7516.834272</v>
      </c>
      <c r="I149" s="11">
        <f>IFERROR(INDEX(rngData,MATCH($B149,rngYear,0),MATCH(OFFSET(I149,-$A149,0),rngColumnNames,0)),"")</f>
        <v>8026.957585</v>
      </c>
      <c r="J149" s="11">
        <f t="shared" si="9"/>
        <v>510.12331300000005</v>
      </c>
      <c r="K149" s="15">
        <f>IFERROR(INDEX(rngData,MATCH($B149,rngYear,0),MATCH(OFFSET(K149,-$A149,0),rngColumnNames,0)),"")</f>
        <v>2227.073982</v>
      </c>
      <c r="L149" s="15">
        <f>IFERROR(INDEX(rngData,MATCH($B149,rngYear,0),MATCH(OFFSET(L149,-$A149,0),rngColumnNames,0)),"")</f>
        <v>2107.510466</v>
      </c>
      <c r="M149" s="15">
        <f>IFERROR(INDEX(rngData,MATCH($B149,rngYear,0),MATCH(OFFSET(M149,-$A149,0),rngColumnNames,0)),"")</f>
        <v>2356.396763</v>
      </c>
      <c r="N149" s="15">
        <f t="shared" si="10"/>
        <v>248.886297</v>
      </c>
    </row>
    <row r="150">
      <c r="A150" s="9">
        <f t="shared" si="11"/>
        <v>19</v>
      </c>
      <c r="B150" s="10">
        <f>IF(INDEX(rngYear,A150+1)&lt;&gt;0,INDEX(rngYear,A150+1),"")</f>
        <v>1998</v>
      </c>
      <c r="C150" s="11">
        <f>IFERROR(INDEX(rngData,MATCH($B150,rngYear,0),MATCH(OFFSET(C150,-$A150,0),rngColumnNames,0)),"")</f>
        <v>10306.68052</v>
      </c>
      <c r="D150" s="11">
        <f>IFERROR(INDEX(rngData,MATCH($B150,rngYear,0),MATCH(OFFSET(D150,-$A150,0),rngColumnNames,0)),"")</f>
        <v>10013.453789</v>
      </c>
      <c r="E150" s="11">
        <f>IFERROR(INDEX(rngData,MATCH($B150,rngYear,0),MATCH(OFFSET(E150,-$A150,0),rngColumnNames,0)),"")</f>
        <v>10635.34867</v>
      </c>
      <c r="F150" s="11">
        <f t="shared" si="8"/>
        <v>621.89488100000017</v>
      </c>
      <c r="G150" s="11">
        <f>IFERROR(INDEX(rngData,MATCH($B150,rngYear,0),MATCH(OFFSET(G150,-$A150,0),rngColumnNames,0)),"")</f>
        <v>8250.037446</v>
      </c>
      <c r="H150" s="11">
        <f>IFERROR(INDEX(rngData,MATCH($B150,rngYear,0),MATCH(OFFSET(H150,-$A150,0),rngColumnNames,0)),"")</f>
        <v>8017.721049</v>
      </c>
      <c r="I150" s="11">
        <f>IFERROR(INDEX(rngData,MATCH($B150,rngYear,0),MATCH(OFFSET(I150,-$A150,0),rngColumnNames,0)),"")</f>
        <v>8522.65967</v>
      </c>
      <c r="J150" s="11">
        <f t="shared" si="9"/>
        <v>504.93862099999933</v>
      </c>
      <c r="K150" s="15">
        <f>IFERROR(INDEX(rngData,MATCH($B150,rngYear,0),MATCH(OFFSET(K150,-$A150,0),rngColumnNames,0)),"")</f>
        <v>2056.643074</v>
      </c>
      <c r="L150" s="15">
        <f>IFERROR(INDEX(rngData,MATCH($B150,rngYear,0),MATCH(OFFSET(L150,-$A150,0),rngColumnNames,0)),"")</f>
        <v>1933.920491</v>
      </c>
      <c r="M150" s="15">
        <f>IFERROR(INDEX(rngData,MATCH($B150,rngYear,0),MATCH(OFFSET(M150,-$A150,0),rngColumnNames,0)),"")</f>
        <v>2179.536102</v>
      </c>
      <c r="N150" s="15">
        <f t="shared" si="10"/>
        <v>245.61561099999994</v>
      </c>
    </row>
    <row r="151">
      <c r="A151" s="9">
        <f t="shared" si="11"/>
        <v>20</v>
      </c>
      <c r="B151" s="10">
        <f>IF(INDEX(rngYear,A151+1)&lt;&gt;0,INDEX(rngYear,A151+1),"")</f>
        <v>1999</v>
      </c>
      <c r="C151" s="11">
        <f>IFERROR(INDEX(rngData,MATCH($B151,rngYear,0),MATCH(OFFSET(C151,-$A151,0),rngColumnNames,0)),"")</f>
        <v>10679.492902</v>
      </c>
      <c r="D151" s="11">
        <f>IFERROR(INDEX(rngData,MATCH($B151,rngYear,0),MATCH(OFFSET(D151,-$A151,0),rngColumnNames,0)),"")</f>
        <v>10388.802448</v>
      </c>
      <c r="E151" s="11">
        <f>IFERROR(INDEX(rngData,MATCH($B151,rngYear,0),MATCH(OFFSET(E151,-$A151,0),rngColumnNames,0)),"")</f>
        <v>11021.297985</v>
      </c>
      <c r="F151" s="11">
        <f t="shared" si="8"/>
        <v>632.49553699999888</v>
      </c>
      <c r="G151" s="11">
        <f>IFERROR(INDEX(rngData,MATCH($B151,rngYear,0),MATCH(OFFSET(G151,-$A151,0),rngColumnNames,0)),"")</f>
        <v>8728.721828</v>
      </c>
      <c r="H151" s="11">
        <f>IFERROR(INDEX(rngData,MATCH($B151,rngYear,0),MATCH(OFFSET(H151,-$A151,0),rngColumnNames,0)),"")</f>
        <v>8496.470986</v>
      </c>
      <c r="I151" s="11">
        <f>IFERROR(INDEX(rngData,MATCH($B151,rngYear,0),MATCH(OFFSET(I151,-$A151,0),rngColumnNames,0)),"")</f>
        <v>9002.554792</v>
      </c>
      <c r="J151" s="11">
        <f t="shared" si="9"/>
        <v>506.08380600000055</v>
      </c>
      <c r="K151" s="15">
        <f>IFERROR(INDEX(rngData,MATCH($B151,rngYear,0),MATCH(OFFSET(K151,-$A151,0),rngColumnNames,0)),"")</f>
        <v>1950.771074</v>
      </c>
      <c r="L151" s="15">
        <f>IFERROR(INDEX(rngData,MATCH($B151,rngYear,0),MATCH(OFFSET(L151,-$A151,0),rngColumnNames,0)),"")</f>
        <v>1828.94485</v>
      </c>
      <c r="M151" s="15">
        <f>IFERROR(INDEX(rngData,MATCH($B151,rngYear,0),MATCH(OFFSET(M151,-$A151,0),rngColumnNames,0)),"")</f>
        <v>2069.334271</v>
      </c>
      <c r="N151" s="15">
        <f t="shared" si="10"/>
        <v>240.38942100000008</v>
      </c>
    </row>
    <row r="152">
      <c r="A152" s="9">
        <f t="shared" si="11"/>
        <v>21</v>
      </c>
      <c r="B152" s="10">
        <f>IF(INDEX(rngYear,A152+1)&lt;&gt;0,INDEX(rngYear,A152+1),"")</f>
        <v>2000</v>
      </c>
      <c r="C152" s="11">
        <f>IFERROR(INDEX(rngData,MATCH($B152,rngYear,0),MATCH(OFFSET(C152,-$A152,0),rngColumnNames,0)),"")</f>
        <v>11079.374401</v>
      </c>
      <c r="D152" s="11">
        <f>IFERROR(INDEX(rngData,MATCH($B152,rngYear,0),MATCH(OFFSET(D152,-$A152,0),rngColumnNames,0)),"")</f>
        <v>10786.609403</v>
      </c>
      <c r="E152" s="11">
        <f>IFERROR(INDEX(rngData,MATCH($B152,rngYear,0),MATCH(OFFSET(E152,-$A152,0),rngColumnNames,0)),"")</f>
        <v>11429.310545</v>
      </c>
      <c r="F152" s="11">
        <f t="shared" si="8"/>
        <v>642.70114199999989</v>
      </c>
      <c r="G152" s="11">
        <f>IFERROR(INDEX(rngData,MATCH($B152,rngYear,0),MATCH(OFFSET(G152,-$A152,0),rngColumnNames,0)),"")</f>
        <v>9177.303266</v>
      </c>
      <c r="H152" s="11">
        <f>IFERROR(INDEX(rngData,MATCH($B152,rngYear,0),MATCH(OFFSET(H152,-$A152,0),rngColumnNames,0)),"")</f>
        <v>8944.028968</v>
      </c>
      <c r="I152" s="11">
        <f>IFERROR(INDEX(rngData,MATCH($B152,rngYear,0),MATCH(OFFSET(I152,-$A152,0),rngColumnNames,0)),"")</f>
        <v>9452.552729</v>
      </c>
      <c r="J152" s="11">
        <f t="shared" si="9"/>
        <v>508.52376100000038</v>
      </c>
      <c r="K152" s="15">
        <f>IFERROR(INDEX(rngData,MATCH($B152,rngYear,0),MATCH(OFFSET(K152,-$A152,0),rngColumnNames,0)),"")</f>
        <v>1902.071135</v>
      </c>
      <c r="L152" s="15">
        <f>IFERROR(INDEX(rngData,MATCH($B152,rngYear,0),MATCH(OFFSET(L152,-$A152,0),rngColumnNames,0)),"")</f>
        <v>1781.005283</v>
      </c>
      <c r="M152" s="15">
        <f>IFERROR(INDEX(rngData,MATCH($B152,rngYear,0),MATCH(OFFSET(M152,-$A152,0),rngColumnNames,0)),"")</f>
        <v>2020.170455</v>
      </c>
      <c r="N152" s="15">
        <f t="shared" si="10"/>
        <v>239.16517199999998</v>
      </c>
    </row>
    <row r="153">
      <c r="A153" s="9">
        <f t="shared" si="11"/>
        <v>22</v>
      </c>
      <c r="B153" s="10">
        <f>IF(INDEX(rngYear,A153+1)&lt;&gt;0,INDEX(rngYear,A153+1),"")</f>
        <v>2001</v>
      </c>
      <c r="C153" s="11">
        <f>IFERROR(INDEX(rngData,MATCH($B153,rngYear,0),MATCH(OFFSET(C153,-$A153,0),rngColumnNames,0)),"")</f>
        <v>11543.256987</v>
      </c>
      <c r="D153" s="11">
        <f>IFERROR(INDEX(rngData,MATCH($B153,rngYear,0),MATCH(OFFSET(D153,-$A153,0),rngColumnNames,0)),"")</f>
        <v>11233.964045</v>
      </c>
      <c r="E153" s="11">
        <f>IFERROR(INDEX(rngData,MATCH($B153,rngYear,0),MATCH(OFFSET(E153,-$A153,0),rngColumnNames,0)),"")</f>
        <v>11896.144422</v>
      </c>
      <c r="F153" s="11">
        <f t="shared" si="8"/>
        <v>662.18037699999877</v>
      </c>
      <c r="G153" s="11">
        <f>IFERROR(INDEX(rngData,MATCH($B153,rngYear,0),MATCH(OFFSET(G153,-$A153,0),rngColumnNames,0)),"")</f>
        <v>9641.514498</v>
      </c>
      <c r="H153" s="11">
        <f>IFERROR(INDEX(rngData,MATCH($B153,rngYear,0),MATCH(OFFSET(H153,-$A153,0),rngColumnNames,0)),"")</f>
        <v>9409.724036</v>
      </c>
      <c r="I153" s="11">
        <f>IFERROR(INDEX(rngData,MATCH($B153,rngYear,0),MATCH(OFFSET(I153,-$A153,0),rngColumnNames,0)),"")</f>
        <v>9916.220401</v>
      </c>
      <c r="J153" s="11">
        <f t="shared" si="9"/>
        <v>506.49636500000088</v>
      </c>
      <c r="K153" s="15">
        <f>IFERROR(INDEX(rngData,MATCH($B153,rngYear,0),MATCH(OFFSET(K153,-$A153,0),rngColumnNames,0)),"")</f>
        <v>1901.742488</v>
      </c>
      <c r="L153" s="15">
        <f>IFERROR(INDEX(rngData,MATCH($B153,rngYear,0),MATCH(OFFSET(L153,-$A153,0),rngColumnNames,0)),"")</f>
        <v>1778.764615</v>
      </c>
      <c r="M153" s="15">
        <f>IFERROR(INDEX(rngData,MATCH($B153,rngYear,0),MATCH(OFFSET(M153,-$A153,0),rngColumnNames,0)),"")</f>
        <v>2021.141493</v>
      </c>
      <c r="N153" s="15">
        <f t="shared" si="10"/>
        <v>242.37687800000003</v>
      </c>
    </row>
    <row r="154">
      <c r="A154" s="9">
        <f t="shared" si="11"/>
        <v>23</v>
      </c>
      <c r="B154" s="10">
        <f>IF(INDEX(rngYear,A154+1)&lt;&gt;0,INDEX(rngYear,A154+1),"")</f>
        <v>2002</v>
      </c>
      <c r="C154" s="11">
        <f>IFERROR(INDEX(rngData,MATCH($B154,rngYear,0),MATCH(OFFSET(C154,-$A154,0),rngColumnNames,0)),"")</f>
        <v>12082.078731</v>
      </c>
      <c r="D154" s="11">
        <f>IFERROR(INDEX(rngData,MATCH($B154,rngYear,0),MATCH(OFFSET(D154,-$A154,0),rngColumnNames,0)),"")</f>
        <v>11760.476178</v>
      </c>
      <c r="E154" s="11">
        <f>IFERROR(INDEX(rngData,MATCH($B154,rngYear,0),MATCH(OFFSET(E154,-$A154,0),rngColumnNames,0)),"")</f>
        <v>12432.737465</v>
      </c>
      <c r="F154" s="11">
        <f t="shared" si="8"/>
        <v>672.26128699999936</v>
      </c>
      <c r="G154" s="11">
        <f>IFERROR(INDEX(rngData,MATCH($B154,rngYear,0),MATCH(OFFSET(G154,-$A154,0),rngColumnNames,0)),"")</f>
        <v>10141.361392</v>
      </c>
      <c r="H154" s="11">
        <f>IFERROR(INDEX(rngData,MATCH($B154,rngYear,0),MATCH(OFFSET(H154,-$A154,0),rngColumnNames,0)),"")</f>
        <v>9910.868043</v>
      </c>
      <c r="I154" s="11">
        <f>IFERROR(INDEX(rngData,MATCH($B154,rngYear,0),MATCH(OFFSET(I154,-$A154,0),rngColumnNames,0)),"")</f>
        <v>10420.344946</v>
      </c>
      <c r="J154" s="11">
        <f t="shared" si="9"/>
        <v>509.47690299999886</v>
      </c>
      <c r="K154" s="15">
        <f>IFERROR(INDEX(rngData,MATCH($B154,rngYear,0),MATCH(OFFSET(K154,-$A154,0),rngColumnNames,0)),"")</f>
        <v>1940.71734</v>
      </c>
      <c r="L154" s="15">
        <f>IFERROR(INDEX(rngData,MATCH($B154,rngYear,0),MATCH(OFFSET(L154,-$A154,0),rngColumnNames,0)),"")</f>
        <v>1816.267972</v>
      </c>
      <c r="M154" s="15">
        <f>IFERROR(INDEX(rngData,MATCH($B154,rngYear,0),MATCH(OFFSET(M154,-$A154,0),rngColumnNames,0)),"")</f>
        <v>2072.256398</v>
      </c>
      <c r="N154" s="15">
        <f t="shared" si="10"/>
        <v>255.98842599999989</v>
      </c>
    </row>
    <row r="155">
      <c r="A155" s="9">
        <f t="shared" si="11"/>
        <v>24</v>
      </c>
      <c r="B155" s="10">
        <f>IF(INDEX(rngYear,A155+1)&lt;&gt;0,INDEX(rngYear,A155+1),"")</f>
        <v>2003</v>
      </c>
      <c r="C155" s="11">
        <f>IFERROR(INDEX(rngData,MATCH($B155,rngYear,0),MATCH(OFFSET(C155,-$A155,0),rngColumnNames,0)),"")</f>
        <v>12691.761509</v>
      </c>
      <c r="D155" s="11">
        <f>IFERROR(INDEX(rngData,MATCH($B155,rngYear,0),MATCH(OFFSET(D155,-$A155,0),rngColumnNames,0)),"")</f>
        <v>12373.696831</v>
      </c>
      <c r="E155" s="11">
        <f>IFERROR(INDEX(rngData,MATCH($B155,rngYear,0),MATCH(OFFSET(E155,-$A155,0),rngColumnNames,0)),"")</f>
        <v>13035.225111</v>
      </c>
      <c r="F155" s="11">
        <f t="shared" si="8"/>
        <v>661.52828000000045</v>
      </c>
      <c r="G155" s="11">
        <f>IFERROR(INDEX(rngData,MATCH($B155,rngYear,0),MATCH(OFFSET(G155,-$A155,0),rngColumnNames,0)),"")</f>
        <v>10680.109925</v>
      </c>
      <c r="H155" s="11">
        <f>IFERROR(INDEX(rngData,MATCH($B155,rngYear,0),MATCH(OFFSET(H155,-$A155,0),rngColumnNames,0)),"")</f>
        <v>10444.592937</v>
      </c>
      <c r="I155" s="11">
        <f>IFERROR(INDEX(rngData,MATCH($B155,rngYear,0),MATCH(OFFSET(I155,-$A155,0),rngColumnNames,0)),"")</f>
        <v>10957.618979</v>
      </c>
      <c r="J155" s="11">
        <f t="shared" si="9"/>
        <v>513.02604200000133</v>
      </c>
      <c r="K155" s="15">
        <f>IFERROR(INDEX(rngData,MATCH($B155,rngYear,0),MATCH(OFFSET(K155,-$A155,0),rngColumnNames,0)),"")</f>
        <v>2011.651584</v>
      </c>
      <c r="L155" s="15">
        <f>IFERROR(INDEX(rngData,MATCH($B155,rngYear,0),MATCH(OFFSET(L155,-$A155,0),rngColumnNames,0)),"")</f>
        <v>1887.569781</v>
      </c>
      <c r="M155" s="15">
        <f>IFERROR(INDEX(rngData,MATCH($B155,rngYear,0),MATCH(OFFSET(M155,-$A155,0),rngColumnNames,0)),"")</f>
        <v>2145.527471</v>
      </c>
      <c r="N155" s="15">
        <f t="shared" si="10"/>
        <v>257.95768999999996</v>
      </c>
    </row>
    <row r="156">
      <c r="A156" s="9">
        <f t="shared" si="11"/>
        <v>25</v>
      </c>
      <c r="B156" s="10">
        <f>IF(INDEX(rngYear,A156+1)&lt;&gt;0,INDEX(rngYear,A156+1),"")</f>
        <v>2004</v>
      </c>
      <c r="C156" s="11">
        <f>IFERROR(INDEX(rngData,MATCH($B156,rngYear,0),MATCH(OFFSET(C156,-$A156,0),rngColumnNames,0)),"")</f>
        <v>13443.927795</v>
      </c>
      <c r="D156" s="11">
        <f>IFERROR(INDEX(rngData,MATCH($B156,rngYear,0),MATCH(OFFSET(D156,-$A156,0),rngColumnNames,0)),"")</f>
        <v>13134.614278</v>
      </c>
      <c r="E156" s="11">
        <f>IFERROR(INDEX(rngData,MATCH($B156,rngYear,0),MATCH(OFFSET(E156,-$A156,0),rngColumnNames,0)),"")</f>
        <v>13775.583382</v>
      </c>
      <c r="F156" s="11">
        <f t="shared" si="8"/>
        <v>640.96910400000161</v>
      </c>
      <c r="G156" s="11">
        <f>IFERROR(INDEX(rngData,MATCH($B156,rngYear,0),MATCH(OFFSET(G156,-$A156,0),rngColumnNames,0)),"")</f>
        <v>11336.949048</v>
      </c>
      <c r="H156" s="11">
        <f>IFERROR(INDEX(rngData,MATCH($B156,rngYear,0),MATCH(OFFSET(H156,-$A156,0),rngColumnNames,0)),"")</f>
        <v>11088.578416</v>
      </c>
      <c r="I156" s="11">
        <f>IFERROR(INDEX(rngData,MATCH($B156,rngYear,0),MATCH(OFFSET(I156,-$A156,0),rngColumnNames,0)),"")</f>
        <v>11617.62598</v>
      </c>
      <c r="J156" s="11">
        <f t="shared" si="9"/>
        <v>529.04756400000042</v>
      </c>
      <c r="K156" s="15">
        <f>IFERROR(INDEX(rngData,MATCH($B156,rngYear,0),MATCH(OFFSET(K156,-$A156,0),rngColumnNames,0)),"")</f>
        <v>2106.978748</v>
      </c>
      <c r="L156" s="15">
        <f>IFERROR(INDEX(rngData,MATCH($B156,rngYear,0),MATCH(OFFSET(L156,-$A156,0),rngColumnNames,0)),"")</f>
        <v>1984.144565</v>
      </c>
      <c r="M156" s="15">
        <f>IFERROR(INDEX(rngData,MATCH($B156,rngYear,0),MATCH(OFFSET(M156,-$A156,0),rngColumnNames,0)),"")</f>
        <v>2237.012135</v>
      </c>
      <c r="N156" s="15">
        <f t="shared" si="10"/>
        <v>252.86756999999989</v>
      </c>
    </row>
    <row r="157">
      <c r="A157" s="9">
        <f t="shared" si="11"/>
        <v>26</v>
      </c>
      <c r="B157" s="10">
        <f>IF(INDEX(rngYear,A157+1)&lt;&gt;0,INDEX(rngYear,A157+1),"")</f>
        <v>2005</v>
      </c>
      <c r="C157" s="11">
        <f>IFERROR(INDEX(rngData,MATCH($B157,rngYear,0),MATCH(OFFSET(C157,-$A157,0),rngColumnNames,0)),"")</f>
        <v>14204.525756</v>
      </c>
      <c r="D157" s="11">
        <f>IFERROR(INDEX(rngData,MATCH($B157,rngYear,0),MATCH(OFFSET(D157,-$A157,0),rngColumnNames,0)),"")</f>
        <v>13889.377173</v>
      </c>
      <c r="E157" s="11">
        <f>IFERROR(INDEX(rngData,MATCH($B157,rngYear,0),MATCH(OFFSET(E157,-$A157,0),rngColumnNames,0)),"")</f>
        <v>14520.246417</v>
      </c>
      <c r="F157" s="11">
        <f t="shared" si="8"/>
        <v>630.86924399999953</v>
      </c>
      <c r="G157" s="11">
        <f>IFERROR(INDEX(rngData,MATCH($B157,rngYear,0),MATCH(OFFSET(G157,-$A157,0),rngColumnNames,0)),"")</f>
        <v>11986.188118</v>
      </c>
      <c r="H157" s="11">
        <f>IFERROR(INDEX(rngData,MATCH($B157,rngYear,0),MATCH(OFFSET(H157,-$A157,0),rngColumnNames,0)),"")</f>
        <v>11725.99527</v>
      </c>
      <c r="I157" s="11">
        <f>IFERROR(INDEX(rngData,MATCH($B157,rngYear,0),MATCH(OFFSET(I157,-$A157,0),rngColumnNames,0)),"")</f>
        <v>12273.020132</v>
      </c>
      <c r="J157" s="11">
        <f t="shared" si="9"/>
        <v>547.02486200000021</v>
      </c>
      <c r="K157" s="15">
        <f>IFERROR(INDEX(rngData,MATCH($B157,rngYear,0),MATCH(OFFSET(K157,-$A157,0),rngColumnNames,0)),"")</f>
        <v>2218.337638</v>
      </c>
      <c r="L157" s="15">
        <f>IFERROR(INDEX(rngData,MATCH($B157,rngYear,0),MATCH(OFFSET(L157,-$A157,0),rngColumnNames,0)),"")</f>
        <v>2099.254628</v>
      </c>
      <c r="M157" s="15">
        <f>IFERROR(INDEX(rngData,MATCH($B157,rngYear,0),MATCH(OFFSET(M157,-$A157,0),rngColumnNames,0)),"")</f>
        <v>2340.584018</v>
      </c>
      <c r="N157" s="15">
        <f t="shared" si="10"/>
        <v>241.32938999999988</v>
      </c>
    </row>
    <row r="158">
      <c r="A158" s="9">
        <f t="shared" si="11"/>
        <v>27</v>
      </c>
      <c r="B158" s="10">
        <f>IF(INDEX(rngYear,A158+1)&lt;&gt;0,INDEX(rngYear,A158+1),"")</f>
        <v>2006</v>
      </c>
      <c r="C158" s="11">
        <f>IFERROR(INDEX(rngData,MATCH($B158,rngYear,0),MATCH(OFFSET(C158,-$A158,0),rngColumnNames,0)),"")</f>
        <v>15000.220899</v>
      </c>
      <c r="D158" s="11">
        <f>IFERROR(INDEX(rngData,MATCH($B158,rngYear,0),MATCH(OFFSET(D158,-$A158,0),rngColumnNames,0)),"")</f>
        <v>14680.560341</v>
      </c>
      <c r="E158" s="11">
        <f>IFERROR(INDEX(rngData,MATCH($B158,rngYear,0),MATCH(OFFSET(E158,-$A158,0),rngColumnNames,0)),"")</f>
        <v>15296.515058</v>
      </c>
      <c r="F158" s="11">
        <f t="shared" si="8"/>
        <v>615.95471700000053</v>
      </c>
      <c r="G158" s="11">
        <f>IFERROR(INDEX(rngData,MATCH($B158,rngYear,0),MATCH(OFFSET(G158,-$A158,0),rngColumnNames,0)),"")</f>
        <v>12663.176718</v>
      </c>
      <c r="H158" s="11">
        <f>IFERROR(INDEX(rngData,MATCH($B158,rngYear,0),MATCH(OFFSET(H158,-$A158,0),rngColumnNames,0)),"")</f>
        <v>12392.685327</v>
      </c>
      <c r="I158" s="11">
        <f>IFERROR(INDEX(rngData,MATCH($B158,rngYear,0),MATCH(OFFSET(I158,-$A158,0),rngColumnNames,0)),"")</f>
        <v>12954.365231</v>
      </c>
      <c r="J158" s="11">
        <f t="shared" si="9"/>
        <v>561.67990400000053</v>
      </c>
      <c r="K158" s="15">
        <f>IFERROR(INDEX(rngData,MATCH($B158,rngYear,0),MATCH(OFFSET(K158,-$A158,0),rngColumnNames,0)),"")</f>
        <v>2337.044181</v>
      </c>
      <c r="L158" s="15">
        <f>IFERROR(INDEX(rngData,MATCH($B158,rngYear,0),MATCH(OFFSET(L158,-$A158,0),rngColumnNames,0)),"")</f>
        <v>2223.000938</v>
      </c>
      <c r="M158" s="15">
        <f>IFERROR(INDEX(rngData,MATCH($B158,rngYear,0),MATCH(OFFSET(M158,-$A158,0),rngColumnNames,0)),"")</f>
        <v>2448.933784</v>
      </c>
      <c r="N158" s="15">
        <f t="shared" si="10"/>
        <v>225.9328459999997</v>
      </c>
    </row>
    <row r="159">
      <c r="A159" s="9">
        <f t="shared" si="11"/>
        <v>28</v>
      </c>
      <c r="B159" s="10">
        <f>IF(INDEX(rngYear,A159+1)&lt;&gt;0,INDEX(rngYear,A159+1),"")</f>
        <v>2007</v>
      </c>
      <c r="C159" s="11">
        <f>IFERROR(INDEX(rngData,MATCH($B159,rngYear,0),MATCH(OFFSET(C159,-$A159,0),rngColumnNames,0)),"")</f>
        <v>15847.478179</v>
      </c>
      <c r="D159" s="11">
        <f>IFERROR(INDEX(rngData,MATCH($B159,rngYear,0),MATCH(OFFSET(D159,-$A159,0),rngColumnNames,0)),"")</f>
        <v>15523.727207</v>
      </c>
      <c r="E159" s="11">
        <f>IFERROR(INDEX(rngData,MATCH($B159,rngYear,0),MATCH(OFFSET(E159,-$A159,0),rngColumnNames,0)),"")</f>
        <v>16128.668286</v>
      </c>
      <c r="F159" s="11">
        <f t="shared" si="8"/>
        <v>604.94107900000017</v>
      </c>
      <c r="G159" s="11">
        <f>IFERROR(INDEX(rngData,MATCH($B159,rngYear,0),MATCH(OFFSET(G159,-$A159,0),rngColumnNames,0)),"")</f>
        <v>13393.023298</v>
      </c>
      <c r="H159" s="11">
        <f>IFERROR(INDEX(rngData,MATCH($B159,rngYear,0),MATCH(OFFSET(H159,-$A159,0),rngColumnNames,0)),"")</f>
        <v>13113.833837</v>
      </c>
      <c r="I159" s="11">
        <f>IFERROR(INDEX(rngData,MATCH($B159,rngYear,0),MATCH(OFFSET(I159,-$A159,0),rngColumnNames,0)),"")</f>
        <v>13685.958862</v>
      </c>
      <c r="J159" s="11">
        <f t="shared" si="9"/>
        <v>572.12502499999937</v>
      </c>
      <c r="K159" s="15">
        <f>IFERROR(INDEX(rngData,MATCH($B159,rngYear,0),MATCH(OFFSET(K159,-$A159,0),rngColumnNames,0)),"")</f>
        <v>2454.454882</v>
      </c>
      <c r="L159" s="15">
        <f>IFERROR(INDEX(rngData,MATCH($B159,rngYear,0),MATCH(OFFSET(L159,-$A159,0),rngColumnNames,0)),"")</f>
        <v>2340.708343</v>
      </c>
      <c r="M159" s="15">
        <f>IFERROR(INDEX(rngData,MATCH($B159,rngYear,0),MATCH(OFFSET(M159,-$A159,0),rngColumnNames,0)),"")</f>
        <v>2561.502997</v>
      </c>
      <c r="N159" s="15">
        <f t="shared" si="10"/>
        <v>220.79465400000026</v>
      </c>
    </row>
    <row r="160">
      <c r="A160" s="9">
        <f t="shared" si="11"/>
        <v>29</v>
      </c>
      <c r="B160" s="10">
        <f>IF(INDEX(rngYear,A160+1)&lt;&gt;0,INDEX(rngYear,A160+1),"")</f>
        <v>2008</v>
      </c>
      <c r="C160" s="11">
        <f>IFERROR(INDEX(rngData,MATCH($B160,rngYear,0),MATCH(OFFSET(C160,-$A160,0),rngColumnNames,0)),"")</f>
        <v>16751.153839</v>
      </c>
      <c r="D160" s="11">
        <f>IFERROR(INDEX(rngData,MATCH($B160,rngYear,0),MATCH(OFFSET(D160,-$A160,0),rngColumnNames,0)),"")</f>
        <v>16420.035781</v>
      </c>
      <c r="E160" s="11">
        <f>IFERROR(INDEX(rngData,MATCH($B160,rngYear,0),MATCH(OFFSET(E160,-$A160,0),rngColumnNames,0)),"")</f>
        <v>17033.760833</v>
      </c>
      <c r="F160" s="11">
        <f t="shared" si="8"/>
        <v>613.7250520000016</v>
      </c>
      <c r="G160" s="11">
        <f>IFERROR(INDEX(rngData,MATCH($B160,rngYear,0),MATCH(OFFSET(G160,-$A160,0),rngColumnNames,0)),"")</f>
        <v>14189.005981</v>
      </c>
      <c r="H160" s="11">
        <f>IFERROR(INDEX(rngData,MATCH($B160,rngYear,0),MATCH(OFFSET(H160,-$A160,0),rngColumnNames,0)),"")</f>
        <v>13902.50255</v>
      </c>
      <c r="I160" s="11">
        <f>IFERROR(INDEX(rngData,MATCH($B160,rngYear,0),MATCH(OFFSET(I160,-$A160,0),rngColumnNames,0)),"")</f>
        <v>14481.827865</v>
      </c>
      <c r="J160" s="11">
        <f t="shared" si="9"/>
        <v>579.325315</v>
      </c>
      <c r="K160" s="15">
        <f>IFERROR(INDEX(rngData,MATCH($B160,rngYear,0),MATCH(OFFSET(K160,-$A160,0),rngColumnNames,0)),"")</f>
        <v>2562.147857</v>
      </c>
      <c r="L160" s="15">
        <f>IFERROR(INDEX(rngData,MATCH($B160,rngYear,0),MATCH(OFFSET(L160,-$A160,0),rngColumnNames,0)),"")</f>
        <v>2451.035509</v>
      </c>
      <c r="M160" s="15">
        <f>IFERROR(INDEX(rngData,MATCH($B160,rngYear,0),MATCH(OFFSET(M160,-$A160,0),rngColumnNames,0)),"")</f>
        <v>2671.968363</v>
      </c>
      <c r="N160" s="15">
        <f t="shared" si="10"/>
        <v>220.93285400000013</v>
      </c>
    </row>
    <row r="161">
      <c r="A161" s="9">
        <f t="shared" si="11"/>
        <v>30</v>
      </c>
      <c r="B161" s="10">
        <f>IF(INDEX(rngYear,A161+1)&lt;&gt;0,INDEX(rngYear,A161+1),"")</f>
        <v>2009</v>
      </c>
      <c r="C161" s="11">
        <f>IFERROR(INDEX(rngData,MATCH($B161,rngYear,0),MATCH(OFFSET(C161,-$A161,0),rngColumnNames,0)),"")</f>
        <v>17713.682776</v>
      </c>
      <c r="D161" s="11">
        <f>IFERROR(INDEX(rngData,MATCH($B161,rngYear,0),MATCH(OFFSET(D161,-$A161,0),rngColumnNames,0)),"")</f>
        <v>17378.071619</v>
      </c>
      <c r="E161" s="11">
        <f>IFERROR(INDEX(rngData,MATCH($B161,rngYear,0),MATCH(OFFSET(E161,-$A161,0),rngColumnNames,0)),"")</f>
        <v>17995.630423</v>
      </c>
      <c r="F161" s="11">
        <f t="shared" si="8"/>
        <v>617.55880400000024</v>
      </c>
      <c r="G161" s="11">
        <f>IFERROR(INDEX(rngData,MATCH($B161,rngYear,0),MATCH(OFFSET(G161,-$A161,0),rngColumnNames,0)),"")</f>
        <v>15061.319032</v>
      </c>
      <c r="H161" s="11">
        <f>IFERROR(INDEX(rngData,MATCH($B161,rngYear,0),MATCH(OFFSET(H161,-$A161,0),rngColumnNames,0)),"")</f>
        <v>14774.087705</v>
      </c>
      <c r="I161" s="11">
        <f>IFERROR(INDEX(rngData,MATCH($B161,rngYear,0),MATCH(OFFSET(I161,-$A161,0),rngColumnNames,0)),"")</f>
        <v>15353.008318</v>
      </c>
      <c r="J161" s="11">
        <f t="shared" si="9"/>
        <v>578.92061300000023</v>
      </c>
      <c r="K161" s="15">
        <f>IFERROR(INDEX(rngData,MATCH($B161,rngYear,0),MATCH(OFFSET(K161,-$A161,0),rngColumnNames,0)),"")</f>
        <v>2652.363745</v>
      </c>
      <c r="L161" s="15">
        <f>IFERROR(INDEX(rngData,MATCH($B161,rngYear,0),MATCH(OFFSET(L161,-$A161,0),rngColumnNames,0)),"")</f>
        <v>2534.76064</v>
      </c>
      <c r="M161" s="15">
        <f>IFERROR(INDEX(rngData,MATCH($B161,rngYear,0),MATCH(OFFSET(M161,-$A161,0),rngColumnNames,0)),"")</f>
        <v>2766.331181</v>
      </c>
      <c r="N161" s="15">
        <f t="shared" si="10"/>
        <v>231.57054100000005</v>
      </c>
    </row>
    <row r="162">
      <c r="A162" s="9">
        <f t="shared" si="11"/>
        <v>31</v>
      </c>
      <c r="B162" s="10">
        <f>IF(INDEX(rngYear,A162+1)&lt;&gt;0,INDEX(rngYear,A162+1),"")</f>
        <v>2010</v>
      </c>
      <c r="C162" s="11">
        <f>IFERROR(INDEX(rngData,MATCH($B162,rngYear,0),MATCH(OFFSET(C162,-$A162,0),rngColumnNames,0)),"")</f>
        <v>18625.945328</v>
      </c>
      <c r="D162" s="11">
        <f>IFERROR(INDEX(rngData,MATCH($B162,rngYear,0),MATCH(OFFSET(D162,-$A162,0),rngColumnNames,0)),"")</f>
        <v>18286.97599</v>
      </c>
      <c r="E162" s="11">
        <f>IFERROR(INDEX(rngData,MATCH($B162,rngYear,0),MATCH(OFFSET(E162,-$A162,0),rngColumnNames,0)),"")</f>
        <v>18917.654004</v>
      </c>
      <c r="F162" s="11">
        <f t="shared" si="8"/>
        <v>630.678014000001</v>
      </c>
      <c r="G162" s="11">
        <f>IFERROR(INDEX(rngData,MATCH($B162,rngYear,0),MATCH(OFFSET(G162,-$A162,0),rngColumnNames,0)),"")</f>
        <v>15906.410745</v>
      </c>
      <c r="H162" s="11">
        <f>IFERROR(INDEX(rngData,MATCH($B162,rngYear,0),MATCH(OFFSET(H162,-$A162,0),rngColumnNames,0)),"")</f>
        <v>15608.622435</v>
      </c>
      <c r="I162" s="11">
        <f>IFERROR(INDEX(rngData,MATCH($B162,rngYear,0),MATCH(OFFSET(I162,-$A162,0),rngColumnNames,0)),"")</f>
        <v>16196.793186</v>
      </c>
      <c r="J162" s="11">
        <f t="shared" si="9"/>
        <v>588.17075100000147</v>
      </c>
      <c r="K162" s="15">
        <f>IFERROR(INDEX(rngData,MATCH($B162,rngYear,0),MATCH(OFFSET(K162,-$A162,0),rngColumnNames,0)),"")</f>
        <v>2719.534583</v>
      </c>
      <c r="L162" s="15">
        <f>IFERROR(INDEX(rngData,MATCH($B162,rngYear,0),MATCH(OFFSET(L162,-$A162,0),rngColumnNames,0)),"")</f>
        <v>2600.703118</v>
      </c>
      <c r="M162" s="15">
        <f>IFERROR(INDEX(rngData,MATCH($B162,rngYear,0),MATCH(OFFSET(M162,-$A162,0),rngColumnNames,0)),"")</f>
        <v>2837.730347</v>
      </c>
      <c r="N162" s="15">
        <f t="shared" si="10"/>
        <v>237.02722900000026</v>
      </c>
    </row>
    <row r="163">
      <c r="A163" s="9">
        <f t="shared" si="11"/>
        <v>32</v>
      </c>
      <c r="B163" s="10">
        <f>IF(INDEX(rngYear,A163+1)&lt;&gt;0,INDEX(rngYear,A163+1),"")</f>
        <v>2011</v>
      </c>
      <c r="C163" s="11">
        <f>IFERROR(INDEX(rngData,MATCH($B163,rngYear,0),MATCH(OFFSET(C163,-$A163,0),rngColumnNames,0)),"")</f>
        <v>19554.304211</v>
      </c>
      <c r="D163" s="11">
        <f>IFERROR(INDEX(rngData,MATCH($B163,rngYear,0),MATCH(OFFSET(D163,-$A163,0),rngColumnNames,0)),"")</f>
        <v>19210.239599</v>
      </c>
      <c r="E163" s="11">
        <f>IFERROR(INDEX(rngData,MATCH($B163,rngYear,0),MATCH(OFFSET(E163,-$A163,0),rngColumnNames,0)),"")</f>
        <v>19867.586821</v>
      </c>
      <c r="F163" s="11">
        <f t="shared" si="8"/>
        <v>657.34722200000033</v>
      </c>
      <c r="G163" s="11">
        <f>IFERROR(INDEX(rngData,MATCH($B163,rngYear,0),MATCH(OFFSET(G163,-$A163,0),rngColumnNames,0)),"")</f>
        <v>16793.961154</v>
      </c>
      <c r="H163" s="11">
        <f>IFERROR(INDEX(rngData,MATCH($B163,rngYear,0),MATCH(OFFSET(H163,-$A163,0),rngColumnNames,0)),"")</f>
        <v>16489.222227</v>
      </c>
      <c r="I163" s="11">
        <f>IFERROR(INDEX(rngData,MATCH($B163,rngYear,0),MATCH(OFFSET(I163,-$A163,0),rngColumnNames,0)),"")</f>
        <v>17101.339549</v>
      </c>
      <c r="J163" s="11">
        <f t="shared" si="9"/>
        <v>612.11732200000188</v>
      </c>
      <c r="K163" s="15">
        <f>IFERROR(INDEX(rngData,MATCH($B163,rngYear,0),MATCH(OFFSET(K163,-$A163,0),rngColumnNames,0)),"")</f>
        <v>2760.343057</v>
      </c>
      <c r="L163" s="15">
        <f>IFERROR(INDEX(rngData,MATCH($B163,rngYear,0),MATCH(OFFSET(L163,-$A163,0),rngColumnNames,0)),"")</f>
        <v>2639.305583</v>
      </c>
      <c r="M163" s="15">
        <f>IFERROR(INDEX(rngData,MATCH($B163,rngYear,0),MATCH(OFFSET(M163,-$A163,0),rngColumnNames,0)),"")</f>
        <v>2895.161763</v>
      </c>
      <c r="N163" s="15">
        <f t="shared" si="10"/>
        <v>255.85618000000022</v>
      </c>
    </row>
    <row r="164">
      <c r="A164" s="9">
        <f t="shared" si="11"/>
        <v>33</v>
      </c>
      <c r="B164" s="10">
        <f>IF(INDEX(rngYear,A164+1)&lt;&gt;0,INDEX(rngYear,A164+1),"")</f>
        <v>2012</v>
      </c>
      <c r="C164" s="11">
        <f>IFERROR(INDEX(rngData,MATCH($B164,rngYear,0),MATCH(OFFSET(C164,-$A164,0),rngColumnNames,0)),"")</f>
        <v>20506.299851</v>
      </c>
      <c r="D164" s="11">
        <f>IFERROR(INDEX(rngData,MATCH($B164,rngYear,0),MATCH(OFFSET(D164,-$A164,0),rngColumnNames,0)),"")</f>
        <v>20161.005269</v>
      </c>
      <c r="E164" s="11">
        <f>IFERROR(INDEX(rngData,MATCH($B164,rngYear,0),MATCH(OFFSET(E164,-$A164,0),rngColumnNames,0)),"")</f>
        <v>20811.894007</v>
      </c>
      <c r="F164" s="11">
        <f ref="F164:F191" t="shared" si="12">IFERROR(E164-D164,"")</f>
        <v>650.88873799999783</v>
      </c>
      <c r="G164" s="11">
        <f>IFERROR(INDEX(rngData,MATCH($B164,rngYear,0),MATCH(OFFSET(G164,-$A164,0),rngColumnNames,0)),"")</f>
        <v>17716.90006</v>
      </c>
      <c r="H164" s="11">
        <f>IFERROR(INDEX(rngData,MATCH($B164,rngYear,0),MATCH(OFFSET(H164,-$A164,0),rngColumnNames,0)),"")</f>
        <v>17409.30849</v>
      </c>
      <c r="I164" s="11">
        <f>IFERROR(INDEX(rngData,MATCH($B164,rngYear,0),MATCH(OFFSET(I164,-$A164,0),rngColumnNames,0)),"")</f>
        <v>18045.027471</v>
      </c>
      <c r="J164" s="11">
        <f ref="J164:J191" t="shared" si="13">IFERROR(I164-H164,"")</f>
        <v>635.7189810000018</v>
      </c>
      <c r="K164" s="15">
        <f>IFERROR(INDEX(rngData,MATCH($B164,rngYear,0),MATCH(OFFSET(K164,-$A164,0),rngColumnNames,0)),"")</f>
        <v>2789.399791</v>
      </c>
      <c r="L164" s="15">
        <f>IFERROR(INDEX(rngData,MATCH($B164,rngYear,0),MATCH(OFFSET(L164,-$A164,0),rngColumnNames,0)),"")</f>
        <v>2665.717603</v>
      </c>
      <c r="M164" s="15">
        <f>IFERROR(INDEX(rngData,MATCH($B164,rngYear,0),MATCH(OFFSET(M164,-$A164,0),rngColumnNames,0)),"")</f>
        <v>2941.801499</v>
      </c>
      <c r="N164" s="15">
        <f ref="N164:N191" t="shared" si="14">IFERROR(M164-L164,"")</f>
        <v>276.0838960000001</v>
      </c>
    </row>
    <row r="165">
      <c r="A165" s="9">
        <f ref="A165:A191" t="shared" si="15">A164+1</f>
        <v>34</v>
      </c>
      <c r="B165" s="10">
        <f>IF(INDEX(rngYear,A165+1)&lt;&gt;0,INDEX(rngYear,A165+1),"")</f>
        <v>2013</v>
      </c>
      <c r="C165" s="11">
        <f>IFERROR(INDEX(rngData,MATCH($B165,rngYear,0),MATCH(OFFSET(C165,-$A165,0),rngColumnNames,0)),"")</f>
        <v>21392.718638</v>
      </c>
      <c r="D165" s="11">
        <f>IFERROR(INDEX(rngData,MATCH($B165,rngYear,0),MATCH(OFFSET(D165,-$A165,0),rngColumnNames,0)),"")</f>
        <v>21050.57612</v>
      </c>
      <c r="E165" s="11">
        <f>IFERROR(INDEX(rngData,MATCH($B165,rngYear,0),MATCH(OFFSET(E165,-$A165,0),rngColumnNames,0)),"")</f>
        <v>21683.742809</v>
      </c>
      <c r="F165" s="11">
        <f t="shared" si="12"/>
        <v>633.16668899999786</v>
      </c>
      <c r="G165" s="11">
        <f>IFERROR(INDEX(rngData,MATCH($B165,rngYear,0),MATCH(OFFSET(G165,-$A165,0),rngColumnNames,0)),"")</f>
        <v>18574.748044</v>
      </c>
      <c r="H165" s="11">
        <f>IFERROR(INDEX(rngData,MATCH($B165,rngYear,0),MATCH(OFFSET(H165,-$A165,0),rngColumnNames,0)),"")</f>
        <v>18269.575278</v>
      </c>
      <c r="I165" s="11">
        <f>IFERROR(INDEX(rngData,MATCH($B165,rngYear,0),MATCH(OFFSET(I165,-$A165,0),rngColumnNames,0)),"")</f>
        <v>18905.417183</v>
      </c>
      <c r="J165" s="11">
        <f t="shared" si="13"/>
        <v>635.84190500000113</v>
      </c>
      <c r="K165" s="15">
        <f>IFERROR(INDEX(rngData,MATCH($B165,rngYear,0),MATCH(OFFSET(K165,-$A165,0),rngColumnNames,0)),"")</f>
        <v>2817.970594</v>
      </c>
      <c r="L165" s="15">
        <f>IFERROR(INDEX(rngData,MATCH($B165,rngYear,0),MATCH(OFFSET(L165,-$A165,0),rngColumnNames,0)),"")</f>
        <v>2687.764347</v>
      </c>
      <c r="M165" s="15">
        <f>IFERROR(INDEX(rngData,MATCH($B165,rngYear,0),MATCH(OFFSET(M165,-$A165,0),rngColumnNames,0)),"")</f>
        <v>2966.782423</v>
      </c>
      <c r="N165" s="15">
        <f t="shared" si="14"/>
        <v>279.01807600000029</v>
      </c>
    </row>
    <row r="166">
      <c r="A166" s="9">
        <f t="shared" si="15"/>
        <v>35</v>
      </c>
      <c r="B166" s="10">
        <f>IF(INDEX(rngYear,A166+1)&lt;&gt;0,INDEX(rngYear,A166+1),"")</f>
        <v>2014</v>
      </c>
      <c r="C166" s="11">
        <f>IFERROR(INDEX(rngData,MATCH($B166,rngYear,0),MATCH(OFFSET(C166,-$A166,0),rngColumnNames,0)),"")</f>
        <v>22172.094549</v>
      </c>
      <c r="D166" s="11">
        <f>IFERROR(INDEX(rngData,MATCH($B166,rngYear,0),MATCH(OFFSET(D166,-$A166,0),rngColumnNames,0)),"")</f>
        <v>21826.256105</v>
      </c>
      <c r="E166" s="11">
        <f>IFERROR(INDEX(rngData,MATCH($B166,rngYear,0),MATCH(OFFSET(E166,-$A166,0),rngColumnNames,0)),"")</f>
        <v>22468.208669</v>
      </c>
      <c r="F166" s="11">
        <f t="shared" si="12"/>
        <v>641.95256399999926</v>
      </c>
      <c r="G166" s="11">
        <f>IFERROR(INDEX(rngData,MATCH($B166,rngYear,0),MATCH(OFFSET(G166,-$A166,0),rngColumnNames,0)),"")</f>
        <v>19334.00399</v>
      </c>
      <c r="H166" s="11">
        <f>IFERROR(INDEX(rngData,MATCH($B166,rngYear,0),MATCH(OFFSET(H166,-$A166,0),rngColumnNames,0)),"")</f>
        <v>19034.513628</v>
      </c>
      <c r="I166" s="11">
        <f>IFERROR(INDEX(rngData,MATCH($B166,rngYear,0),MATCH(OFFSET(I166,-$A166,0),rngColumnNames,0)),"")</f>
        <v>19664.851965</v>
      </c>
      <c r="J166" s="11">
        <f t="shared" si="13"/>
        <v>630.338337000001</v>
      </c>
      <c r="K166" s="15">
        <f>IFERROR(INDEX(rngData,MATCH($B166,rngYear,0),MATCH(OFFSET(K166,-$A166,0),rngColumnNames,0)),"")</f>
        <v>2838.090558</v>
      </c>
      <c r="L166" s="15">
        <f>IFERROR(INDEX(rngData,MATCH($B166,rngYear,0),MATCH(OFFSET(L166,-$A166,0),rngColumnNames,0)),"")</f>
        <v>2706.332207</v>
      </c>
      <c r="M166" s="15">
        <f>IFERROR(INDEX(rngData,MATCH($B166,rngYear,0),MATCH(OFFSET(M166,-$A166,0),rngColumnNames,0)),"")</f>
        <v>2969.574795</v>
      </c>
      <c r="N166" s="15">
        <f t="shared" si="14"/>
        <v>263.24258800000007</v>
      </c>
    </row>
    <row r="167">
      <c r="A167" s="9">
        <f t="shared" si="15"/>
        <v>36</v>
      </c>
      <c r="B167" s="10">
        <f>IF(INDEX(rngYear,A167+1)&lt;&gt;0,INDEX(rngYear,A167+1),"")</f>
        <v>2015</v>
      </c>
      <c r="C167" s="11">
        <f>IFERROR(INDEX(rngData,MATCH($B167,rngYear,0),MATCH(OFFSET(C167,-$A167,0),rngColumnNames,0)),"")</f>
        <v>23013.100399</v>
      </c>
      <c r="D167" s="11">
        <f>IFERROR(INDEX(rngData,MATCH($B167,rngYear,0),MATCH(OFFSET(D167,-$A167,0),rngColumnNames,0)),"")</f>
        <v>22668.192985</v>
      </c>
      <c r="E167" s="11">
        <f>IFERROR(INDEX(rngData,MATCH($B167,rngYear,0),MATCH(OFFSET(E167,-$A167,0),rngColumnNames,0)),"")</f>
        <v>23331.48114</v>
      </c>
      <c r="F167" s="11">
        <f t="shared" si="12"/>
        <v>663.28815499999837</v>
      </c>
      <c r="G167" s="11">
        <f>IFERROR(INDEX(rngData,MATCH($B167,rngYear,0),MATCH(OFFSET(G167,-$A167,0),rngColumnNames,0)),"")</f>
        <v>20170.542315</v>
      </c>
      <c r="H167" s="11">
        <f>IFERROR(INDEX(rngData,MATCH($B167,rngYear,0),MATCH(OFFSET(H167,-$A167,0),rngColumnNames,0)),"")</f>
        <v>19871.542335</v>
      </c>
      <c r="I167" s="11">
        <f>IFERROR(INDEX(rngData,MATCH($B167,rngYear,0),MATCH(OFFSET(I167,-$A167,0),rngColumnNames,0)),"")</f>
        <v>20500.747367</v>
      </c>
      <c r="J167" s="11">
        <f t="shared" si="13"/>
        <v>629.20503200000167</v>
      </c>
      <c r="K167" s="15">
        <f>IFERROR(INDEX(rngData,MATCH($B167,rngYear,0),MATCH(OFFSET(K167,-$A167,0),rngColumnNames,0)),"")</f>
        <v>2842.558084</v>
      </c>
      <c r="L167" s="15">
        <f>IFERROR(INDEX(rngData,MATCH($B167,rngYear,0),MATCH(OFFSET(L167,-$A167,0),rngColumnNames,0)),"")</f>
        <v>2715.373853</v>
      </c>
      <c r="M167" s="15">
        <f>IFERROR(INDEX(rngData,MATCH($B167,rngYear,0),MATCH(OFFSET(M167,-$A167,0),rngColumnNames,0)),"")</f>
        <v>2951.316422</v>
      </c>
      <c r="N167" s="15">
        <f t="shared" si="14"/>
        <v>235.94256899999982</v>
      </c>
    </row>
    <row r="168">
      <c r="A168" s="9">
        <f t="shared" si="15"/>
        <v>37</v>
      </c>
      <c r="B168" s="10">
        <f>IF(INDEX(rngYear,A168+1)&lt;&gt;0,INDEX(rngYear,A168+1),"")</f>
        <v>2016</v>
      </c>
      <c r="C168" s="11">
        <f>IFERROR(INDEX(rngData,MATCH($B168,rngYear,0),MATCH(OFFSET(C168,-$A168,0),rngColumnNames,0)),"")</f>
        <v>23727.387878</v>
      </c>
      <c r="D168" s="11">
        <f>IFERROR(INDEX(rngData,MATCH($B168,rngYear,0),MATCH(OFFSET(D168,-$A168,0),rngColumnNames,0)),"")</f>
        <v>23378.633892</v>
      </c>
      <c r="E168" s="11">
        <f>IFERROR(INDEX(rngData,MATCH($B168,rngYear,0),MATCH(OFFSET(E168,-$A168,0),rngColumnNames,0)),"")</f>
        <v>24073.354492</v>
      </c>
      <c r="F168" s="11">
        <f t="shared" si="12"/>
        <v>694.72059999999692</v>
      </c>
      <c r="G168" s="11">
        <f>IFERROR(INDEX(rngData,MATCH($B168,rngYear,0),MATCH(OFFSET(G168,-$A168,0),rngColumnNames,0)),"")</f>
        <v>20901.851489</v>
      </c>
      <c r="H168" s="11">
        <f>IFERROR(INDEX(rngData,MATCH($B168,rngYear,0),MATCH(OFFSET(H168,-$A168,0),rngColumnNames,0)),"")</f>
        <v>20593.255661</v>
      </c>
      <c r="I168" s="11">
        <f>IFERROR(INDEX(rngData,MATCH($B168,rngYear,0),MATCH(OFFSET(I168,-$A168,0),rngColumnNames,0)),"")</f>
        <v>21231.363301</v>
      </c>
      <c r="J168" s="11">
        <f t="shared" si="13"/>
        <v>638.107640000002</v>
      </c>
      <c r="K168" s="15">
        <f>IFERROR(INDEX(rngData,MATCH($B168,rngYear,0),MATCH(OFFSET(K168,-$A168,0),rngColumnNames,0)),"")</f>
        <v>2825.536388</v>
      </c>
      <c r="L168" s="15">
        <f>IFERROR(INDEX(rngData,MATCH($B168,rngYear,0),MATCH(OFFSET(L168,-$A168,0),rngColumnNames,0)),"")</f>
        <v>2708.46411</v>
      </c>
      <c r="M168" s="15">
        <f>IFERROR(INDEX(rngData,MATCH($B168,rngYear,0),MATCH(OFFSET(M168,-$A168,0),rngColumnNames,0)),"")</f>
        <v>2948.001605</v>
      </c>
      <c r="N168" s="15">
        <f t="shared" si="14"/>
        <v>239.53749500000004</v>
      </c>
    </row>
    <row r="169">
      <c r="A169" s="9">
        <f t="shared" si="15"/>
        <v>38</v>
      </c>
      <c r="B169" s="10">
        <f>IF(INDEX(rngYear,A169+1)&lt;&gt;0,INDEX(rngYear,A169+1),"")</f>
        <v>2017</v>
      </c>
      <c r="C169" s="11">
        <f>IFERROR(INDEX(rngData,MATCH($B169,rngYear,0),MATCH(OFFSET(C169,-$A169,0),rngColumnNames,0)),"")</f>
        <v>24300.096127</v>
      </c>
      <c r="D169" s="11">
        <f>IFERROR(INDEX(rngData,MATCH($B169,rngYear,0),MATCH(OFFSET(D169,-$A169,0),rngColumnNames,0)),"")</f>
        <v>23933.655697</v>
      </c>
      <c r="E169" s="11">
        <f>IFERROR(INDEX(rngData,MATCH($B169,rngYear,0),MATCH(OFFSET(E169,-$A169,0),rngColumnNames,0)),"")</f>
        <v>24655.045788</v>
      </c>
      <c r="F169" s="11">
        <f t="shared" si="12"/>
        <v>721.39009100000112</v>
      </c>
      <c r="G169" s="11">
        <f>IFERROR(INDEX(rngData,MATCH($B169,rngYear,0),MATCH(OFFSET(G169,-$A169,0),rngColumnNames,0)),"")</f>
        <v>21517.921758</v>
      </c>
      <c r="H169" s="11">
        <f>IFERROR(INDEX(rngData,MATCH($B169,rngYear,0),MATCH(OFFSET(H169,-$A169,0),rngColumnNames,0)),"")</f>
        <v>21194.990224</v>
      </c>
      <c r="I169" s="11">
        <f>IFERROR(INDEX(rngData,MATCH($B169,rngYear,0),MATCH(OFFSET(I169,-$A169,0),rngColumnNames,0)),"")</f>
        <v>21847.252113</v>
      </c>
      <c r="J169" s="11">
        <f t="shared" si="13"/>
        <v>652.26188899999761</v>
      </c>
      <c r="K169" s="15">
        <f>IFERROR(INDEX(rngData,MATCH($B169,rngYear,0),MATCH(OFFSET(K169,-$A169,0),rngColumnNames,0)),"")</f>
        <v>2782.174368</v>
      </c>
      <c r="L169" s="15">
        <f>IFERROR(INDEX(rngData,MATCH($B169,rngYear,0),MATCH(OFFSET(L169,-$A169,0),rngColumnNames,0)),"")</f>
        <v>2667.290643</v>
      </c>
      <c r="M169" s="15">
        <f>IFERROR(INDEX(rngData,MATCH($B169,rngYear,0),MATCH(OFFSET(M169,-$A169,0),rngColumnNames,0)),"")</f>
        <v>2884.582777</v>
      </c>
      <c r="N169" s="15">
        <f t="shared" si="14"/>
        <v>217.29213400000026</v>
      </c>
    </row>
    <row r="170">
      <c r="A170" s="9">
        <f t="shared" si="15"/>
        <v>39</v>
      </c>
      <c r="B170" s="10">
        <f>IF(INDEX(rngYear,A170+1)&lt;&gt;0,INDEX(rngYear,A170+1),"")</f>
        <v>2018</v>
      </c>
      <c r="C170" s="11">
        <f>IFERROR(INDEX(rngData,MATCH($B170,rngYear,0),MATCH(OFFSET(C170,-$A170,0),rngColumnNames,0)),"")</f>
        <v>24822.897336</v>
      </c>
      <c r="D170" s="11">
        <f>IFERROR(INDEX(rngData,MATCH($B170,rngYear,0),MATCH(OFFSET(D170,-$A170,0),rngColumnNames,0)),"")</f>
        <v>24436.44411</v>
      </c>
      <c r="E170" s="11">
        <f>IFERROR(INDEX(rngData,MATCH($B170,rngYear,0),MATCH(OFFSET(E170,-$A170,0),rngColumnNames,0)),"")</f>
        <v>25200.768087</v>
      </c>
      <c r="F170" s="11">
        <f t="shared" si="12"/>
        <v>764.323977</v>
      </c>
      <c r="G170" s="11">
        <f>IFERROR(INDEX(rngData,MATCH($B170,rngYear,0),MATCH(OFFSET(G170,-$A170,0),rngColumnNames,0)),"")</f>
        <v>22114.838801</v>
      </c>
      <c r="H170" s="11">
        <f>IFERROR(INDEX(rngData,MATCH($B170,rngYear,0),MATCH(OFFSET(H170,-$A170,0),rngColumnNames,0)),"")</f>
        <v>21782.32535</v>
      </c>
      <c r="I170" s="11">
        <f>IFERROR(INDEX(rngData,MATCH($B170,rngYear,0),MATCH(OFFSET(I170,-$A170,0),rngColumnNames,0)),"")</f>
        <v>22444.956196</v>
      </c>
      <c r="J170" s="11">
        <f t="shared" si="13"/>
        <v>662.630846</v>
      </c>
      <c r="K170" s="15">
        <f>IFERROR(INDEX(rngData,MATCH($B170,rngYear,0),MATCH(OFFSET(K170,-$A170,0),rngColumnNames,0)),"")</f>
        <v>2708.058534</v>
      </c>
      <c r="L170" s="15">
        <f>IFERROR(INDEX(rngData,MATCH($B170,rngYear,0),MATCH(OFFSET(L170,-$A170,0),rngColumnNames,0)),"")</f>
        <v>2553.043876</v>
      </c>
      <c r="M170" s="15">
        <f>IFERROR(INDEX(rngData,MATCH($B170,rngYear,0),MATCH(OFFSET(M170,-$A170,0),rngColumnNames,0)),"")</f>
        <v>2849.447564</v>
      </c>
      <c r="N170" s="15">
        <f t="shared" si="14"/>
        <v>296.40368799999987</v>
      </c>
    </row>
    <row r="171">
      <c r="A171" s="9">
        <f t="shared" si="15"/>
        <v>40</v>
      </c>
      <c r="B171" s="10">
        <f>IF(INDEX(rngYear,A171+1)&lt;&gt;0,INDEX(rngYear,A171+1),"")</f>
        <v>2019</v>
      </c>
      <c r="C171" s="11">
        <f>IFERROR(INDEX(rngData,MATCH($B171,rngYear,0),MATCH(OFFSET(C171,-$A171,0),rngColumnNames,0)),"")</f>
        <v>25248.44686</v>
      </c>
      <c r="D171" s="11">
        <f>IFERROR(INDEX(rngData,MATCH($B171,rngYear,0),MATCH(OFFSET(D171,-$A171,0),rngColumnNames,0)),"")</f>
        <v>24839.484734</v>
      </c>
      <c r="E171" s="11">
        <f>IFERROR(INDEX(rngData,MATCH($B171,rngYear,0),MATCH(OFFSET(E171,-$A171,0),rngColumnNames,0)),"")</f>
        <v>25668.115358</v>
      </c>
      <c r="F171" s="11">
        <f t="shared" si="12"/>
        <v>828.63062399999762</v>
      </c>
      <c r="G171" s="11">
        <f>IFERROR(INDEX(rngData,MATCH($B171,rngYear,0),MATCH(OFFSET(G171,-$A171,0),rngColumnNames,0)),"")</f>
        <v>22649.691335</v>
      </c>
      <c r="H171" s="11">
        <f>IFERROR(INDEX(rngData,MATCH($B171,rngYear,0),MATCH(OFFSET(H171,-$A171,0),rngColumnNames,0)),"")</f>
        <v>22305.801891</v>
      </c>
      <c r="I171" s="11">
        <f>IFERROR(INDEX(rngData,MATCH($B171,rngYear,0),MATCH(OFFSET(I171,-$A171,0),rngColumnNames,0)),"")</f>
        <v>22998.543996</v>
      </c>
      <c r="J171" s="11">
        <f t="shared" si="13"/>
        <v>692.74210500000117</v>
      </c>
      <c r="K171" s="15">
        <f>IFERROR(INDEX(rngData,MATCH($B171,rngYear,0),MATCH(OFFSET(K171,-$A171,0),rngColumnNames,0)),"")</f>
        <v>2598.755525</v>
      </c>
      <c r="L171" s="15">
        <f>IFERROR(INDEX(rngData,MATCH($B171,rngYear,0),MATCH(OFFSET(L171,-$A171,0),rngColumnNames,0)),"")</f>
        <v>2392.916604</v>
      </c>
      <c r="M171" s="15">
        <f>IFERROR(INDEX(rngData,MATCH($B171,rngYear,0),MATCH(OFFSET(M171,-$A171,0),rngColumnNames,0)),"")</f>
        <v>2800.810845</v>
      </c>
      <c r="N171" s="15">
        <f t="shared" si="14"/>
        <v>407.89424099999997</v>
      </c>
    </row>
    <row r="172">
      <c r="A172" s="9">
        <f t="shared" si="15"/>
        <v>41</v>
      </c>
      <c r="B172" s="10">
        <f>IF(INDEX(rngYear,A172+1)&lt;&gt;0,INDEX(rngYear,A172+1),"")</f>
        <v>2020</v>
      </c>
      <c r="C172" s="11">
        <f>IFERROR(INDEX(rngData,MATCH($B172,rngYear,0),MATCH(OFFSET(C172,-$A172,0),rngColumnNames,0)),"")</f>
        <v>25581.799705</v>
      </c>
      <c r="D172" s="11">
        <f>IFERROR(INDEX(rngData,MATCH($B172,rngYear,0),MATCH(OFFSET(D172,-$A172,0),rngColumnNames,0)),"")</f>
        <v>25117.900113</v>
      </c>
      <c r="E172" s="11">
        <f>IFERROR(INDEX(rngData,MATCH($B172,rngYear,0),MATCH(OFFSET(E172,-$A172,0),rngColumnNames,0)),"")</f>
        <v>26050.205853</v>
      </c>
      <c r="F172" s="11">
        <f t="shared" si="12"/>
        <v>932.30573999999979</v>
      </c>
      <c r="G172" s="11">
        <f>IFERROR(INDEX(rngData,MATCH($B172,rngYear,0),MATCH(OFFSET(G172,-$A172,0),rngColumnNames,0)),"")</f>
        <v>23055.505438</v>
      </c>
      <c r="H172" s="11">
        <f>IFERROR(INDEX(rngData,MATCH($B172,rngYear,0),MATCH(OFFSET(H172,-$A172,0),rngColumnNames,0)),"")</f>
        <v>22683.180975</v>
      </c>
      <c r="I172" s="11">
        <f>IFERROR(INDEX(rngData,MATCH($B172,rngYear,0),MATCH(OFFSET(I172,-$A172,0),rngColumnNames,0)),"")</f>
        <v>23389.776976</v>
      </c>
      <c r="J172" s="11">
        <f t="shared" si="13"/>
        <v>706.59600100000171</v>
      </c>
      <c r="K172" s="15">
        <f>IFERROR(INDEX(rngData,MATCH($B172,rngYear,0),MATCH(OFFSET(K172,-$A172,0),rngColumnNames,0)),"")</f>
        <v>2526.294266</v>
      </c>
      <c r="L172" s="15">
        <f>IFERROR(INDEX(rngData,MATCH($B172,rngYear,0),MATCH(OFFSET(L172,-$A172,0),rngColumnNames,0)),"")</f>
        <v>2265.310776</v>
      </c>
      <c r="M172" s="15">
        <f>IFERROR(INDEX(rngData,MATCH($B172,rngYear,0),MATCH(OFFSET(M172,-$A172,0),rngColumnNames,0)),"")</f>
        <v>2808.011439</v>
      </c>
      <c r="N172" s="15">
        <f t="shared" si="14"/>
        <v>542.70066300000008</v>
      </c>
    </row>
    <row r="173">
      <c r="A173" s="9">
        <f t="shared" si="15"/>
        <v>42</v>
      </c>
      <c r="B173" s="10">
        <f>IF(INDEX(rngYear,A173+1)&lt;&gt;0,INDEX(rngYear,A173+1),"")</f>
        <v>2021</v>
      </c>
      <c r="C173" s="11">
        <f>IFERROR(INDEX(rngData,MATCH($B173,rngYear,0),MATCH(OFFSET(C173,-$A173,0),rngColumnNames,0)),"")</f>
        <v>25687.451754</v>
      </c>
      <c r="D173" s="11">
        <f>IFERROR(INDEX(rngData,MATCH($B173,rngYear,0),MATCH(OFFSET(D173,-$A173,0),rngColumnNames,0)),"")</f>
        <v>25128.833754</v>
      </c>
      <c r="E173" s="11">
        <f>IFERROR(INDEX(rngData,MATCH($B173,rngYear,0),MATCH(OFFSET(E173,-$A173,0),rngColumnNames,0)),"")</f>
        <v>26212.54078</v>
      </c>
      <c r="F173" s="11">
        <f t="shared" si="12"/>
        <v>1083.707026</v>
      </c>
      <c r="G173" s="11">
        <f>IFERROR(INDEX(rngData,MATCH($B173,rngYear,0),MATCH(OFFSET(G173,-$A173,0),rngColumnNames,0)),"")</f>
        <v>23289.692637</v>
      </c>
      <c r="H173" s="11">
        <f>IFERROR(INDEX(rngData,MATCH($B173,rngYear,0),MATCH(OFFSET(H173,-$A173,0),rngColumnNames,0)),"")</f>
        <v>22920.34235</v>
      </c>
      <c r="I173" s="11">
        <f>IFERROR(INDEX(rngData,MATCH($B173,rngYear,0),MATCH(OFFSET(I173,-$A173,0),rngColumnNames,0)),"")</f>
        <v>23633.274235</v>
      </c>
      <c r="J173" s="11">
        <f t="shared" si="13"/>
        <v>712.93188500000178</v>
      </c>
      <c r="K173" s="15">
        <f>IFERROR(INDEX(rngData,MATCH($B173,rngYear,0),MATCH(OFFSET(K173,-$A173,0),rngColumnNames,0)),"")</f>
        <v>2397.759117</v>
      </c>
      <c r="L173" s="15">
        <f>IFERROR(INDEX(rngData,MATCH($B173,rngYear,0),MATCH(OFFSET(L173,-$A173,0),rngColumnNames,0)),"")</f>
        <v>2037.24584</v>
      </c>
      <c r="M173" s="15">
        <f>IFERROR(INDEX(rngData,MATCH($B173,rngYear,0),MATCH(OFFSET(M173,-$A173,0),rngColumnNames,0)),"")</f>
        <v>2759.718339</v>
      </c>
      <c r="N173" s="15">
        <f t="shared" si="14"/>
        <v>722.472499</v>
      </c>
    </row>
    <row r="174">
      <c r="A174" s="9">
        <f t="shared" si="15"/>
        <v>43</v>
      </c>
      <c r="B174" s="10">
        <f>IF(INDEX(rngYear,A174+1)&lt;&gt;0,INDEX(rngYear,A174+1),"")</f>
        <v>2022</v>
      </c>
      <c r="C174" s="11">
        <f>IFERROR(INDEX(rngData,MATCH($B174,rngYear,0),MATCH(OFFSET(C174,-$A174,0),rngColumnNames,0)),"")</f>
        <v>25690.799943</v>
      </c>
      <c r="D174" s="11">
        <f>IFERROR(INDEX(rngData,MATCH($B174,rngYear,0),MATCH(OFFSET(D174,-$A174,0),rngColumnNames,0)),"")</f>
        <v>25019.314991</v>
      </c>
      <c r="E174" s="11">
        <f>IFERROR(INDEX(rngData,MATCH($B174,rngYear,0),MATCH(OFFSET(E174,-$A174,0),rngColumnNames,0)),"")</f>
        <v>26305.970627</v>
      </c>
      <c r="F174" s="11">
        <f t="shared" si="12"/>
        <v>1286.6556359999995</v>
      </c>
      <c r="G174" s="11">
        <f>IFERROR(INDEX(rngData,MATCH($B174,rngYear,0),MATCH(OFFSET(G174,-$A174,0),rngColumnNames,0)),"")</f>
        <v>23588.312385</v>
      </c>
      <c r="H174" s="11">
        <f>IFERROR(INDEX(rngData,MATCH($B174,rngYear,0),MATCH(OFFSET(H174,-$A174,0),rngColumnNames,0)),"")</f>
        <v>23219.725019</v>
      </c>
      <c r="I174" s="11">
        <f>IFERROR(INDEX(rngData,MATCH($B174,rngYear,0),MATCH(OFFSET(I174,-$A174,0),rngColumnNames,0)),"")</f>
        <v>23950.014713</v>
      </c>
      <c r="J174" s="11">
        <f t="shared" si="13"/>
        <v>730.28969399999914</v>
      </c>
      <c r="K174" s="15">
        <f>IFERROR(INDEX(rngData,MATCH($B174,rngYear,0),MATCH(OFFSET(K174,-$A174,0),rngColumnNames,0)),"")</f>
        <v>2102.487557</v>
      </c>
      <c r="L174" s="15">
        <f>IFERROR(INDEX(rngData,MATCH($B174,rngYear,0),MATCH(OFFSET(L174,-$A174,0),rngColumnNames,0)),"")</f>
        <v>1649.438989</v>
      </c>
      <c r="M174" s="15">
        <f>IFERROR(INDEX(rngData,MATCH($B174,rngYear,0),MATCH(OFFSET(M174,-$A174,0),rngColumnNames,0)),"")</f>
        <v>2584.286311</v>
      </c>
      <c r="N174" s="15">
        <f t="shared" si="14"/>
        <v>934.84732199999985</v>
      </c>
    </row>
    <row r="175">
      <c r="A175" s="9">
        <f t="shared" si="15"/>
        <v>44</v>
      </c>
      <c r="B175" s="10">
        <f>IF(INDEX(rngYear,A175+1)&lt;&gt;0,INDEX(rngYear,A175+1),"")</f>
      </c>
      <c r="C175" s="11">
        <f>IFERROR(INDEX(rngData,MATCH($B175,rngYear,0),MATCH(OFFSET(C175,-$A175,0),rngColumnNames,0)),"")</f>
      </c>
      <c r="D175" s="11">
        <f>IFERROR(INDEX(rngData,MATCH($B175,rngYear,0),MATCH(OFFSET(D175,-$A175,0),rngColumnNames,0)),"")</f>
      </c>
      <c r="E175" s="11">
        <f>IFERROR(INDEX(rngData,MATCH($B175,rngYear,0),MATCH(OFFSET(E175,-$A175,0),rngColumnNames,0)),"")</f>
      </c>
      <c r="F175" s="11">
        <f t="shared" si="12"/>
      </c>
      <c r="G175" s="11">
        <f>IFERROR(INDEX(rngData,MATCH($B175,rngYear,0),MATCH(OFFSET(G175,-$A175,0),rngColumnNames,0)),"")</f>
      </c>
      <c r="H175" s="11">
        <f>IFERROR(INDEX(rngData,MATCH($B175,rngYear,0),MATCH(OFFSET(H175,-$A175,0),rngColumnNames,0)),"")</f>
      </c>
      <c r="I175" s="11">
        <f>IFERROR(INDEX(rngData,MATCH($B175,rngYear,0),MATCH(OFFSET(I175,-$A175,0),rngColumnNames,0)),"")</f>
      </c>
      <c r="J175" s="11">
        <f t="shared" si="13"/>
      </c>
      <c r="K175" s="15">
        <f>IFERROR(INDEX(rngData,MATCH($B175,rngYear,0),MATCH(OFFSET(K175,-$A175,0),rngColumnNames,0)),"")</f>
      </c>
      <c r="L175" s="15">
        <f>IFERROR(INDEX(rngData,MATCH($B175,rngYear,0),MATCH(OFFSET(L175,-$A175,0),rngColumnNames,0)),"")</f>
      </c>
      <c r="M175" s="15">
        <f>IFERROR(INDEX(rngData,MATCH($B175,rngYear,0),MATCH(OFFSET(M175,-$A175,0),rngColumnNames,0)),"")</f>
      </c>
      <c r="N175" s="15">
        <f t="shared" si="14"/>
      </c>
    </row>
    <row r="176">
      <c r="A176" s="9">
        <f t="shared" si="15"/>
        <v>45</v>
      </c>
      <c r="B176" s="10">
        <f>IF(INDEX(rngYear,A176+1)&lt;&gt;0,INDEX(rngYear,A176+1),"")</f>
      </c>
      <c r="C176" s="11">
        <f>IFERROR(INDEX(rngData,MATCH($B176,rngYear,0),MATCH(OFFSET(C176,-$A176,0),rngColumnNames,0)),"")</f>
      </c>
      <c r="D176" s="11">
        <f>IFERROR(INDEX(rngData,MATCH($B176,rngYear,0),MATCH(OFFSET(D176,-$A176,0),rngColumnNames,0)),"")</f>
      </c>
      <c r="E176" s="11">
        <f>IFERROR(INDEX(rngData,MATCH($B176,rngYear,0),MATCH(OFFSET(E176,-$A176,0),rngColumnNames,0)),"")</f>
      </c>
      <c r="F176" s="11">
        <f t="shared" si="12"/>
      </c>
      <c r="G176" s="11">
        <f>IFERROR(INDEX(rngData,MATCH($B176,rngYear,0),MATCH(OFFSET(G176,-$A176,0),rngColumnNames,0)),"")</f>
      </c>
      <c r="H176" s="11">
        <f>IFERROR(INDEX(rngData,MATCH($B176,rngYear,0),MATCH(OFFSET(H176,-$A176,0),rngColumnNames,0)),"")</f>
      </c>
      <c r="I176" s="11">
        <f>IFERROR(INDEX(rngData,MATCH($B176,rngYear,0),MATCH(OFFSET(I176,-$A176,0),rngColumnNames,0)),"")</f>
      </c>
      <c r="J176" s="11">
        <f t="shared" si="13"/>
      </c>
      <c r="K176" s="15">
        <f>IFERROR(INDEX(rngData,MATCH($B176,rngYear,0),MATCH(OFFSET(K176,-$A176,0),rngColumnNames,0)),"")</f>
      </c>
      <c r="L176" s="15">
        <f>IFERROR(INDEX(rngData,MATCH($B176,rngYear,0),MATCH(OFFSET(L176,-$A176,0),rngColumnNames,0)),"")</f>
      </c>
      <c r="M176" s="15">
        <f>IFERROR(INDEX(rngData,MATCH($B176,rngYear,0),MATCH(OFFSET(M176,-$A176,0),rngColumnNames,0)),"")</f>
      </c>
      <c r="N176" s="15">
        <f t="shared" si="14"/>
      </c>
    </row>
    <row r="177">
      <c r="A177" s="9">
        <f t="shared" si="15"/>
        <v>46</v>
      </c>
      <c r="B177" s="10">
        <f>IF(INDEX(rngYear,A177+1)&lt;&gt;0,INDEX(rngYear,A177+1),"")</f>
      </c>
      <c r="C177" s="11">
        <f>IFERROR(INDEX(rngData,MATCH($B177,rngYear,0),MATCH(OFFSET(C177,-$A177,0),rngColumnNames,0)),"")</f>
      </c>
      <c r="D177" s="11">
        <f>IFERROR(INDEX(rngData,MATCH($B177,rngYear,0),MATCH(OFFSET(D177,-$A177,0),rngColumnNames,0)),"")</f>
      </c>
      <c r="E177" s="11">
        <f>IFERROR(INDEX(rngData,MATCH($B177,rngYear,0),MATCH(OFFSET(E177,-$A177,0),rngColumnNames,0)),"")</f>
      </c>
      <c r="F177" s="11">
        <f t="shared" si="12"/>
      </c>
      <c r="G177" s="11">
        <f>IFERROR(INDEX(rngData,MATCH($B177,rngYear,0),MATCH(OFFSET(G177,-$A177,0),rngColumnNames,0)),"")</f>
      </c>
      <c r="H177" s="11">
        <f>IFERROR(INDEX(rngData,MATCH($B177,rngYear,0),MATCH(OFFSET(H177,-$A177,0),rngColumnNames,0)),"")</f>
      </c>
      <c r="I177" s="11">
        <f>IFERROR(INDEX(rngData,MATCH($B177,rngYear,0),MATCH(OFFSET(I177,-$A177,0),rngColumnNames,0)),"")</f>
      </c>
      <c r="J177" s="11">
        <f t="shared" si="13"/>
      </c>
      <c r="K177" s="15">
        <f>IFERROR(INDEX(rngData,MATCH($B177,rngYear,0),MATCH(OFFSET(K177,-$A177,0),rngColumnNames,0)),"")</f>
      </c>
      <c r="L177" s="15">
        <f>IFERROR(INDEX(rngData,MATCH($B177,rngYear,0),MATCH(OFFSET(L177,-$A177,0),rngColumnNames,0)),"")</f>
      </c>
      <c r="M177" s="15">
        <f>IFERROR(INDEX(rngData,MATCH($B177,rngYear,0),MATCH(OFFSET(M177,-$A177,0),rngColumnNames,0)),"")</f>
      </c>
      <c r="N177" s="15">
        <f t="shared" si="14"/>
      </c>
    </row>
    <row r="178">
      <c r="A178" s="9">
        <f t="shared" si="15"/>
        <v>47</v>
      </c>
      <c r="B178" s="10">
        <f>IF(INDEX(rngYear,A178+1)&lt;&gt;0,INDEX(rngYear,A178+1),"")</f>
      </c>
      <c r="C178" s="11">
        <f>IFERROR(INDEX(rngData,MATCH($B178,rngYear,0),MATCH(OFFSET(C178,-$A178,0),rngColumnNames,0)),"")</f>
      </c>
      <c r="D178" s="11">
        <f>IFERROR(INDEX(rngData,MATCH($B178,rngYear,0),MATCH(OFFSET(D178,-$A178,0),rngColumnNames,0)),"")</f>
      </c>
      <c r="E178" s="11">
        <f>IFERROR(INDEX(rngData,MATCH($B178,rngYear,0),MATCH(OFFSET(E178,-$A178,0),rngColumnNames,0)),"")</f>
      </c>
      <c r="F178" s="11">
        <f t="shared" si="12"/>
      </c>
      <c r="G178" s="11">
        <f>IFERROR(INDEX(rngData,MATCH($B178,rngYear,0),MATCH(OFFSET(G178,-$A178,0),rngColumnNames,0)),"")</f>
      </c>
      <c r="H178" s="11">
        <f>IFERROR(INDEX(rngData,MATCH($B178,rngYear,0),MATCH(OFFSET(H178,-$A178,0),rngColumnNames,0)),"")</f>
      </c>
      <c r="I178" s="11">
        <f>IFERROR(INDEX(rngData,MATCH($B178,rngYear,0),MATCH(OFFSET(I178,-$A178,0),rngColumnNames,0)),"")</f>
      </c>
      <c r="J178" s="11">
        <f t="shared" si="13"/>
      </c>
      <c r="K178" s="15">
        <f>IFERROR(INDEX(rngData,MATCH($B178,rngYear,0),MATCH(OFFSET(K178,-$A178,0),rngColumnNames,0)),"")</f>
      </c>
      <c r="L178" s="15">
        <f>IFERROR(INDEX(rngData,MATCH($B178,rngYear,0),MATCH(OFFSET(L178,-$A178,0),rngColumnNames,0)),"")</f>
      </c>
      <c r="M178" s="15">
        <f>IFERROR(INDEX(rngData,MATCH($B178,rngYear,0),MATCH(OFFSET(M178,-$A178,0),rngColumnNames,0)),"")</f>
      </c>
      <c r="N178" s="15">
        <f t="shared" si="14"/>
      </c>
    </row>
    <row r="179">
      <c r="A179" s="9">
        <f t="shared" si="15"/>
        <v>48</v>
      </c>
      <c r="B179" s="10">
        <f>IF(INDEX(rngYear,A179+1)&lt;&gt;0,INDEX(rngYear,A179+1),"")</f>
      </c>
      <c r="C179" s="11">
        <f>IFERROR(INDEX(rngData,MATCH($B179,rngYear,0),MATCH(OFFSET(C179,-$A179,0),rngColumnNames,0)),"")</f>
      </c>
      <c r="D179" s="11">
        <f>IFERROR(INDEX(rngData,MATCH($B179,rngYear,0),MATCH(OFFSET(D179,-$A179,0),rngColumnNames,0)),"")</f>
      </c>
      <c r="E179" s="11">
        <f>IFERROR(INDEX(rngData,MATCH($B179,rngYear,0),MATCH(OFFSET(E179,-$A179,0),rngColumnNames,0)),"")</f>
      </c>
      <c r="F179" s="11">
        <f t="shared" si="12"/>
      </c>
      <c r="G179" s="11">
        <f>IFERROR(INDEX(rngData,MATCH($B179,rngYear,0),MATCH(OFFSET(G179,-$A179,0),rngColumnNames,0)),"")</f>
      </c>
      <c r="H179" s="11">
        <f>IFERROR(INDEX(rngData,MATCH($B179,rngYear,0),MATCH(OFFSET(H179,-$A179,0),rngColumnNames,0)),"")</f>
      </c>
      <c r="I179" s="11">
        <f>IFERROR(INDEX(rngData,MATCH($B179,rngYear,0),MATCH(OFFSET(I179,-$A179,0),rngColumnNames,0)),"")</f>
      </c>
      <c r="J179" s="11">
        <f t="shared" si="13"/>
      </c>
      <c r="K179" s="15">
        <f>IFERROR(INDEX(rngData,MATCH($B179,rngYear,0),MATCH(OFFSET(K179,-$A179,0),rngColumnNames,0)),"")</f>
      </c>
      <c r="L179" s="15">
        <f>IFERROR(INDEX(rngData,MATCH($B179,rngYear,0),MATCH(OFFSET(L179,-$A179,0),rngColumnNames,0)),"")</f>
      </c>
      <c r="M179" s="15">
        <f>IFERROR(INDEX(rngData,MATCH($B179,rngYear,0),MATCH(OFFSET(M179,-$A179,0),rngColumnNames,0)),"")</f>
      </c>
      <c r="N179" s="15">
        <f t="shared" si="14"/>
      </c>
    </row>
    <row r="180">
      <c r="A180" s="9">
        <f t="shared" si="15"/>
        <v>49</v>
      </c>
      <c r="B180" s="10">
        <f>IF(INDEX(rngYear,A180+1)&lt;&gt;0,INDEX(rngYear,A180+1),"")</f>
      </c>
      <c r="C180" s="11">
        <f>IFERROR(INDEX(rngData,MATCH($B180,rngYear,0),MATCH(OFFSET(C180,-$A180,0),rngColumnNames,0)),"")</f>
      </c>
      <c r="D180" s="11">
        <f>IFERROR(INDEX(rngData,MATCH($B180,rngYear,0),MATCH(OFFSET(D180,-$A180,0),rngColumnNames,0)),"")</f>
      </c>
      <c r="E180" s="11">
        <f>IFERROR(INDEX(rngData,MATCH($B180,rngYear,0),MATCH(OFFSET(E180,-$A180,0),rngColumnNames,0)),"")</f>
      </c>
      <c r="F180" s="11">
        <f t="shared" si="12"/>
      </c>
      <c r="G180" s="11">
        <f>IFERROR(INDEX(rngData,MATCH($B180,rngYear,0),MATCH(OFFSET(G180,-$A180,0),rngColumnNames,0)),"")</f>
      </c>
      <c r="H180" s="11">
        <f>IFERROR(INDEX(rngData,MATCH($B180,rngYear,0),MATCH(OFFSET(H180,-$A180,0),rngColumnNames,0)),"")</f>
      </c>
      <c r="I180" s="11">
        <f>IFERROR(INDEX(rngData,MATCH($B180,rngYear,0),MATCH(OFFSET(I180,-$A180,0),rngColumnNames,0)),"")</f>
      </c>
      <c r="J180" s="11">
        <f t="shared" si="13"/>
      </c>
      <c r="K180" s="15">
        <f>IFERROR(INDEX(rngData,MATCH($B180,rngYear,0),MATCH(OFFSET(K180,-$A180,0),rngColumnNames,0)),"")</f>
      </c>
      <c r="L180" s="15">
        <f>IFERROR(INDEX(rngData,MATCH($B180,rngYear,0),MATCH(OFFSET(L180,-$A180,0),rngColumnNames,0)),"")</f>
      </c>
      <c r="M180" s="15">
        <f>IFERROR(INDEX(rngData,MATCH($B180,rngYear,0),MATCH(OFFSET(M180,-$A180,0),rngColumnNames,0)),"")</f>
      </c>
      <c r="N180" s="15">
        <f t="shared" si="14"/>
      </c>
    </row>
    <row r="181">
      <c r="A181" s="9">
        <f t="shared" si="15"/>
        <v>50</v>
      </c>
      <c r="B181" s="10">
        <f>IF(INDEX(rngYear,A181+1)&lt;&gt;0,INDEX(rngYear,A181+1),"")</f>
      </c>
      <c r="C181" s="11">
        <f>IFERROR(INDEX(rngData,MATCH($B181,rngYear,0),MATCH(OFFSET(C181,-$A181,0),rngColumnNames,0)),"")</f>
      </c>
      <c r="D181" s="11">
        <f>IFERROR(INDEX(rngData,MATCH($B181,rngYear,0),MATCH(OFFSET(D181,-$A181,0),rngColumnNames,0)),"")</f>
      </c>
      <c r="E181" s="11">
        <f>IFERROR(INDEX(rngData,MATCH($B181,rngYear,0),MATCH(OFFSET(E181,-$A181,0),rngColumnNames,0)),"")</f>
      </c>
      <c r="F181" s="11">
        <f t="shared" si="12"/>
      </c>
      <c r="G181" s="11">
        <f>IFERROR(INDEX(rngData,MATCH($B181,rngYear,0),MATCH(OFFSET(G181,-$A181,0),rngColumnNames,0)),"")</f>
      </c>
      <c r="H181" s="11">
        <f>IFERROR(INDEX(rngData,MATCH($B181,rngYear,0),MATCH(OFFSET(H181,-$A181,0),rngColumnNames,0)),"")</f>
      </c>
      <c r="I181" s="11">
        <f>IFERROR(INDEX(rngData,MATCH($B181,rngYear,0),MATCH(OFFSET(I181,-$A181,0),rngColumnNames,0)),"")</f>
      </c>
      <c r="J181" s="11">
        <f t="shared" si="13"/>
      </c>
      <c r="K181" s="15">
        <f>IFERROR(INDEX(rngData,MATCH($B181,rngYear,0),MATCH(OFFSET(K181,-$A181,0),rngColumnNames,0)),"")</f>
      </c>
      <c r="L181" s="15">
        <f>IFERROR(INDEX(rngData,MATCH($B181,rngYear,0),MATCH(OFFSET(L181,-$A181,0),rngColumnNames,0)),"")</f>
      </c>
      <c r="M181" s="15">
        <f>IFERROR(INDEX(rngData,MATCH($B181,rngYear,0),MATCH(OFFSET(M181,-$A181,0),rngColumnNames,0)),"")</f>
      </c>
      <c r="N181" s="15">
        <f t="shared" si="14"/>
      </c>
    </row>
    <row r="182">
      <c r="A182" s="9">
        <f t="shared" si="15"/>
        <v>51</v>
      </c>
      <c r="B182" s="10">
        <f>IF(INDEX(rngYear,A182+1)&lt;&gt;0,INDEX(rngYear,A182+1),"")</f>
      </c>
      <c r="C182" s="11">
        <f>IFERROR(INDEX(rngData,MATCH($B182,rngYear,0),MATCH(OFFSET(C182,-$A182,0),rngColumnNames,0)),"")</f>
      </c>
      <c r="D182" s="11">
        <f>IFERROR(INDEX(rngData,MATCH($B182,rngYear,0),MATCH(OFFSET(D182,-$A182,0),rngColumnNames,0)),"")</f>
      </c>
      <c r="E182" s="11">
        <f>IFERROR(INDEX(rngData,MATCH($B182,rngYear,0),MATCH(OFFSET(E182,-$A182,0),rngColumnNames,0)),"")</f>
      </c>
      <c r="F182" s="11">
        <f t="shared" si="12"/>
      </c>
      <c r="G182" s="11">
        <f>IFERROR(INDEX(rngData,MATCH($B182,rngYear,0),MATCH(OFFSET(G182,-$A182,0),rngColumnNames,0)),"")</f>
      </c>
      <c r="H182" s="11">
        <f>IFERROR(INDEX(rngData,MATCH($B182,rngYear,0),MATCH(OFFSET(H182,-$A182,0),rngColumnNames,0)),"")</f>
      </c>
      <c r="I182" s="11">
        <f>IFERROR(INDEX(rngData,MATCH($B182,rngYear,0),MATCH(OFFSET(I182,-$A182,0),rngColumnNames,0)),"")</f>
      </c>
      <c r="J182" s="11">
        <f t="shared" si="13"/>
      </c>
      <c r="K182" s="15">
        <f>IFERROR(INDEX(rngData,MATCH($B182,rngYear,0),MATCH(OFFSET(K182,-$A182,0),rngColumnNames,0)),"")</f>
      </c>
      <c r="L182" s="15">
        <f>IFERROR(INDEX(rngData,MATCH($B182,rngYear,0),MATCH(OFFSET(L182,-$A182,0),rngColumnNames,0)),"")</f>
      </c>
      <c r="M182" s="15">
        <f>IFERROR(INDEX(rngData,MATCH($B182,rngYear,0),MATCH(OFFSET(M182,-$A182,0),rngColumnNames,0)),"")</f>
      </c>
      <c r="N182" s="15">
        <f t="shared" si="14"/>
      </c>
    </row>
    <row r="183">
      <c r="A183" s="9">
        <f t="shared" si="15"/>
        <v>52</v>
      </c>
      <c r="B183" s="10">
        <f>IF(INDEX(rngYear,A183+1)&lt;&gt;0,INDEX(rngYear,A183+1),"")</f>
      </c>
      <c r="C183" s="11">
        <f>IFERROR(INDEX(rngData,MATCH($B183,rngYear,0),MATCH(OFFSET(C183,-$A183,0),rngColumnNames,0)),"")</f>
      </c>
      <c r="D183" s="11">
        <f>IFERROR(INDEX(rngData,MATCH($B183,rngYear,0),MATCH(OFFSET(D183,-$A183,0),rngColumnNames,0)),"")</f>
      </c>
      <c r="E183" s="11">
        <f>IFERROR(INDEX(rngData,MATCH($B183,rngYear,0),MATCH(OFFSET(E183,-$A183,0),rngColumnNames,0)),"")</f>
      </c>
      <c r="F183" s="11">
        <f t="shared" si="12"/>
      </c>
      <c r="G183" s="11">
        <f>IFERROR(INDEX(rngData,MATCH($B183,rngYear,0),MATCH(OFFSET(G183,-$A183,0),rngColumnNames,0)),"")</f>
      </c>
      <c r="H183" s="11">
        <f>IFERROR(INDEX(rngData,MATCH($B183,rngYear,0),MATCH(OFFSET(H183,-$A183,0),rngColumnNames,0)),"")</f>
      </c>
      <c r="I183" s="11">
        <f>IFERROR(INDEX(rngData,MATCH($B183,rngYear,0),MATCH(OFFSET(I183,-$A183,0),rngColumnNames,0)),"")</f>
      </c>
      <c r="J183" s="11">
        <f t="shared" si="13"/>
      </c>
      <c r="K183" s="15">
        <f>IFERROR(INDEX(rngData,MATCH($B183,rngYear,0),MATCH(OFFSET(K183,-$A183,0),rngColumnNames,0)),"")</f>
      </c>
      <c r="L183" s="15">
        <f>IFERROR(INDEX(rngData,MATCH($B183,rngYear,0),MATCH(OFFSET(L183,-$A183,0),rngColumnNames,0)),"")</f>
      </c>
      <c r="M183" s="15">
        <f>IFERROR(INDEX(rngData,MATCH($B183,rngYear,0),MATCH(OFFSET(M183,-$A183,0),rngColumnNames,0)),"")</f>
      </c>
      <c r="N183" s="15">
        <f t="shared" si="14"/>
      </c>
    </row>
    <row r="184">
      <c r="A184" s="9">
        <f t="shared" si="15"/>
        <v>53</v>
      </c>
      <c r="B184" s="10">
        <f>IF(INDEX(rngYear,A184+1)&lt;&gt;0,INDEX(rngYear,A184+1),"")</f>
      </c>
      <c r="C184" s="11">
        <f>IFERROR(INDEX(rngData,MATCH($B184,rngYear,0),MATCH(OFFSET(C184,-$A184,0),rngColumnNames,0)),"")</f>
      </c>
      <c r="D184" s="11">
        <f>IFERROR(INDEX(rngData,MATCH($B184,rngYear,0),MATCH(OFFSET(D184,-$A184,0),rngColumnNames,0)),"")</f>
      </c>
      <c r="E184" s="11">
        <f>IFERROR(INDEX(rngData,MATCH($B184,rngYear,0),MATCH(OFFSET(E184,-$A184,0),rngColumnNames,0)),"")</f>
      </c>
      <c r="F184" s="11">
        <f t="shared" si="12"/>
      </c>
      <c r="G184" s="11">
        <f>IFERROR(INDEX(rngData,MATCH($B184,rngYear,0),MATCH(OFFSET(G184,-$A184,0),rngColumnNames,0)),"")</f>
      </c>
      <c r="H184" s="11">
        <f>IFERROR(INDEX(rngData,MATCH($B184,rngYear,0),MATCH(OFFSET(H184,-$A184,0),rngColumnNames,0)),"")</f>
      </c>
      <c r="I184" s="11">
        <f>IFERROR(INDEX(rngData,MATCH($B184,rngYear,0),MATCH(OFFSET(I184,-$A184,0),rngColumnNames,0)),"")</f>
      </c>
      <c r="J184" s="11">
        <f t="shared" si="13"/>
      </c>
      <c r="K184" s="15">
        <f>IFERROR(INDEX(rngData,MATCH($B184,rngYear,0),MATCH(OFFSET(K184,-$A184,0),rngColumnNames,0)),"")</f>
      </c>
      <c r="L184" s="15">
        <f>IFERROR(INDEX(rngData,MATCH($B184,rngYear,0),MATCH(OFFSET(L184,-$A184,0),rngColumnNames,0)),"")</f>
      </c>
      <c r="M184" s="15">
        <f>IFERROR(INDEX(rngData,MATCH($B184,rngYear,0),MATCH(OFFSET(M184,-$A184,0),rngColumnNames,0)),"")</f>
      </c>
      <c r="N184" s="15">
        <f t="shared" si="14"/>
      </c>
    </row>
    <row r="185">
      <c r="A185" s="9">
        <f t="shared" si="15"/>
        <v>54</v>
      </c>
      <c r="B185" s="10">
        <f>IF(INDEX(rngYear,A185+1)&lt;&gt;0,INDEX(rngYear,A185+1),"")</f>
      </c>
      <c r="C185" s="11">
        <f>IFERROR(INDEX(rngData,MATCH($B185,rngYear,0),MATCH(OFFSET(C185,-$A185,0),rngColumnNames,0)),"")</f>
      </c>
      <c r="D185" s="11">
        <f>IFERROR(INDEX(rngData,MATCH($B185,rngYear,0),MATCH(OFFSET(D185,-$A185,0),rngColumnNames,0)),"")</f>
      </c>
      <c r="E185" s="11">
        <f>IFERROR(INDEX(rngData,MATCH($B185,rngYear,0),MATCH(OFFSET(E185,-$A185,0),rngColumnNames,0)),"")</f>
      </c>
      <c r="F185" s="11">
        <f t="shared" si="12"/>
      </c>
      <c r="G185" s="11">
        <f>IFERROR(INDEX(rngData,MATCH($B185,rngYear,0),MATCH(OFFSET(G185,-$A185,0),rngColumnNames,0)),"")</f>
      </c>
      <c r="H185" s="11">
        <f>IFERROR(INDEX(rngData,MATCH($B185,rngYear,0),MATCH(OFFSET(H185,-$A185,0),rngColumnNames,0)),"")</f>
      </c>
      <c r="I185" s="11">
        <f>IFERROR(INDEX(rngData,MATCH($B185,rngYear,0),MATCH(OFFSET(I185,-$A185,0),rngColumnNames,0)),"")</f>
      </c>
      <c r="J185" s="11">
        <f t="shared" si="13"/>
      </c>
      <c r="K185" s="15">
        <f>IFERROR(INDEX(rngData,MATCH($B185,rngYear,0),MATCH(OFFSET(K185,-$A185,0),rngColumnNames,0)),"")</f>
      </c>
      <c r="L185" s="15">
        <f>IFERROR(INDEX(rngData,MATCH($B185,rngYear,0),MATCH(OFFSET(L185,-$A185,0),rngColumnNames,0)),"")</f>
      </c>
      <c r="M185" s="15">
        <f>IFERROR(INDEX(rngData,MATCH($B185,rngYear,0),MATCH(OFFSET(M185,-$A185,0),rngColumnNames,0)),"")</f>
      </c>
      <c r="N185" s="15">
        <f t="shared" si="14"/>
      </c>
    </row>
    <row r="186">
      <c r="A186" s="9">
        <f t="shared" si="15"/>
        <v>55</v>
      </c>
      <c r="B186" s="10">
        <f>IF(INDEX(rngYear,A186+1)&lt;&gt;0,INDEX(rngYear,A186+1),"")</f>
      </c>
      <c r="C186" s="11">
        <f>IFERROR(INDEX(rngData,MATCH($B186,rngYear,0),MATCH(OFFSET(C186,-$A186,0),rngColumnNames,0)),"")</f>
      </c>
      <c r="D186" s="11">
        <f>IFERROR(INDEX(rngData,MATCH($B186,rngYear,0),MATCH(OFFSET(D186,-$A186,0),rngColumnNames,0)),"")</f>
      </c>
      <c r="E186" s="11">
        <f>IFERROR(INDEX(rngData,MATCH($B186,rngYear,0),MATCH(OFFSET(E186,-$A186,0),rngColumnNames,0)),"")</f>
      </c>
      <c r="F186" s="11">
        <f t="shared" si="12"/>
      </c>
      <c r="G186" s="11">
        <f>IFERROR(INDEX(rngData,MATCH($B186,rngYear,0),MATCH(OFFSET(G186,-$A186,0),rngColumnNames,0)),"")</f>
      </c>
      <c r="H186" s="11">
        <f>IFERROR(INDEX(rngData,MATCH($B186,rngYear,0),MATCH(OFFSET(H186,-$A186,0),rngColumnNames,0)),"")</f>
      </c>
      <c r="I186" s="11">
        <f>IFERROR(INDEX(rngData,MATCH($B186,rngYear,0),MATCH(OFFSET(I186,-$A186,0),rngColumnNames,0)),"")</f>
      </c>
      <c r="J186" s="11">
        <f t="shared" si="13"/>
      </c>
      <c r="K186" s="15">
        <f>IFERROR(INDEX(rngData,MATCH($B186,rngYear,0),MATCH(OFFSET(K186,-$A186,0),rngColumnNames,0)),"")</f>
      </c>
      <c r="L186" s="15">
        <f>IFERROR(INDEX(rngData,MATCH($B186,rngYear,0),MATCH(OFFSET(L186,-$A186,0),rngColumnNames,0)),"")</f>
      </c>
      <c r="M186" s="15">
        <f>IFERROR(INDEX(rngData,MATCH($B186,rngYear,0),MATCH(OFFSET(M186,-$A186,0),rngColumnNames,0)),"")</f>
      </c>
      <c r="N186" s="15">
        <f t="shared" si="14"/>
      </c>
    </row>
    <row r="187">
      <c r="A187" s="9">
        <f t="shared" si="15"/>
        <v>56</v>
      </c>
      <c r="B187" s="10">
        <f>IF(INDEX(rngYear,A187+1)&lt;&gt;0,INDEX(rngYear,A187+1),"")</f>
      </c>
      <c r="C187" s="11">
        <f>IFERROR(INDEX(rngData,MATCH($B187,rngYear,0),MATCH(OFFSET(C187,-$A187,0),rngColumnNames,0)),"")</f>
      </c>
      <c r="D187" s="11">
        <f>IFERROR(INDEX(rngData,MATCH($B187,rngYear,0),MATCH(OFFSET(D187,-$A187,0),rngColumnNames,0)),"")</f>
      </c>
      <c r="E187" s="11">
        <f>IFERROR(INDEX(rngData,MATCH($B187,rngYear,0),MATCH(OFFSET(E187,-$A187,0),rngColumnNames,0)),"")</f>
      </c>
      <c r="F187" s="11">
        <f t="shared" si="12"/>
      </c>
      <c r="G187" s="11">
        <f>IFERROR(INDEX(rngData,MATCH($B187,rngYear,0),MATCH(OFFSET(G187,-$A187,0),rngColumnNames,0)),"")</f>
      </c>
      <c r="H187" s="11">
        <f>IFERROR(INDEX(rngData,MATCH($B187,rngYear,0),MATCH(OFFSET(H187,-$A187,0),rngColumnNames,0)),"")</f>
      </c>
      <c r="I187" s="11">
        <f>IFERROR(INDEX(rngData,MATCH($B187,rngYear,0),MATCH(OFFSET(I187,-$A187,0),rngColumnNames,0)),"")</f>
      </c>
      <c r="J187" s="11">
        <f t="shared" si="13"/>
      </c>
      <c r="K187" s="15">
        <f>IFERROR(INDEX(rngData,MATCH($B187,rngYear,0),MATCH(OFFSET(K187,-$A187,0),rngColumnNames,0)),"")</f>
      </c>
      <c r="L187" s="15">
        <f>IFERROR(INDEX(rngData,MATCH($B187,rngYear,0),MATCH(OFFSET(L187,-$A187,0),rngColumnNames,0)),"")</f>
      </c>
      <c r="M187" s="15">
        <f>IFERROR(INDEX(rngData,MATCH($B187,rngYear,0),MATCH(OFFSET(M187,-$A187,0),rngColumnNames,0)),"")</f>
      </c>
      <c r="N187" s="15">
        <f t="shared" si="14"/>
      </c>
    </row>
    <row r="188">
      <c r="A188" s="9">
        <f t="shared" si="15"/>
        <v>57</v>
      </c>
      <c r="B188" s="10">
        <f>IF(INDEX(rngYear,A188+1)&lt;&gt;0,INDEX(rngYear,A188+1),"")</f>
      </c>
      <c r="C188" s="11">
        <f>IFERROR(INDEX(rngData,MATCH($B188,rngYear,0),MATCH(OFFSET(C188,-$A188,0),rngColumnNames,0)),"")</f>
      </c>
      <c r="D188" s="11">
        <f>IFERROR(INDEX(rngData,MATCH($B188,rngYear,0),MATCH(OFFSET(D188,-$A188,0),rngColumnNames,0)),"")</f>
      </c>
      <c r="E188" s="11">
        <f>IFERROR(INDEX(rngData,MATCH($B188,rngYear,0),MATCH(OFFSET(E188,-$A188,0),rngColumnNames,0)),"")</f>
      </c>
      <c r="F188" s="11">
        <f t="shared" si="12"/>
      </c>
      <c r="G188" s="11">
        <f>IFERROR(INDEX(rngData,MATCH($B188,rngYear,0),MATCH(OFFSET(G188,-$A188,0),rngColumnNames,0)),"")</f>
      </c>
      <c r="H188" s="11">
        <f>IFERROR(INDEX(rngData,MATCH($B188,rngYear,0),MATCH(OFFSET(H188,-$A188,0),rngColumnNames,0)),"")</f>
      </c>
      <c r="I188" s="11">
        <f>IFERROR(INDEX(rngData,MATCH($B188,rngYear,0),MATCH(OFFSET(I188,-$A188,0),rngColumnNames,0)),"")</f>
      </c>
      <c r="J188" s="11">
        <f t="shared" si="13"/>
      </c>
      <c r="K188" s="15">
        <f>IFERROR(INDEX(rngData,MATCH($B188,rngYear,0),MATCH(OFFSET(K188,-$A188,0),rngColumnNames,0)),"")</f>
      </c>
      <c r="L188" s="15">
        <f>IFERROR(INDEX(rngData,MATCH($B188,rngYear,0),MATCH(OFFSET(L188,-$A188,0),rngColumnNames,0)),"")</f>
      </c>
      <c r="M188" s="15">
        <f>IFERROR(INDEX(rngData,MATCH($B188,rngYear,0),MATCH(OFFSET(M188,-$A188,0),rngColumnNames,0)),"")</f>
      </c>
      <c r="N188" s="15">
        <f t="shared" si="14"/>
      </c>
    </row>
    <row r="189">
      <c r="A189" s="9">
        <f t="shared" si="15"/>
        <v>58</v>
      </c>
      <c r="B189" s="10">
        <f>IF(INDEX(rngYear,A189+1)&lt;&gt;0,INDEX(rngYear,A189+1),"")</f>
      </c>
      <c r="C189" s="11">
        <f>IFERROR(INDEX(rngData,MATCH($B189,rngYear,0),MATCH(OFFSET(C189,-$A189,0),rngColumnNames,0)),"")</f>
      </c>
      <c r="D189" s="11">
        <f>IFERROR(INDEX(rngData,MATCH($B189,rngYear,0),MATCH(OFFSET(D189,-$A189,0),rngColumnNames,0)),"")</f>
      </c>
      <c r="E189" s="11">
        <f>IFERROR(INDEX(rngData,MATCH($B189,rngYear,0),MATCH(OFFSET(E189,-$A189,0),rngColumnNames,0)),"")</f>
      </c>
      <c r="F189" s="11">
        <f t="shared" si="12"/>
      </c>
      <c r="G189" s="11">
        <f>IFERROR(INDEX(rngData,MATCH($B189,rngYear,0),MATCH(OFFSET(G189,-$A189,0),rngColumnNames,0)),"")</f>
      </c>
      <c r="H189" s="11">
        <f>IFERROR(INDEX(rngData,MATCH($B189,rngYear,0),MATCH(OFFSET(H189,-$A189,0),rngColumnNames,0)),"")</f>
      </c>
      <c r="I189" s="11">
        <f>IFERROR(INDEX(rngData,MATCH($B189,rngYear,0),MATCH(OFFSET(I189,-$A189,0),rngColumnNames,0)),"")</f>
      </c>
      <c r="J189" s="11">
        <f t="shared" si="13"/>
      </c>
      <c r="K189" s="15">
        <f>IFERROR(INDEX(rngData,MATCH($B189,rngYear,0),MATCH(OFFSET(K189,-$A189,0),rngColumnNames,0)),"")</f>
      </c>
      <c r="L189" s="15">
        <f>IFERROR(INDEX(rngData,MATCH($B189,rngYear,0),MATCH(OFFSET(L189,-$A189,0),rngColumnNames,0)),"")</f>
      </c>
      <c r="M189" s="15">
        <f>IFERROR(INDEX(rngData,MATCH($B189,rngYear,0),MATCH(OFFSET(M189,-$A189,0),rngColumnNames,0)),"")</f>
      </c>
      <c r="N189" s="15">
        <f t="shared" si="14"/>
      </c>
    </row>
    <row r="190">
      <c r="A190" s="9">
        <f t="shared" si="15"/>
        <v>59</v>
      </c>
      <c r="B190" s="10">
        <f>IF(INDEX(rngYear,A190+1)&lt;&gt;0,INDEX(rngYear,A190+1),"")</f>
      </c>
      <c r="C190" s="11">
        <f>IFERROR(INDEX(rngData,MATCH($B190,rngYear,0),MATCH(OFFSET(C190,-$A190,0),rngColumnNames,0)),"")</f>
      </c>
      <c r="D190" s="11">
        <f>IFERROR(INDEX(rngData,MATCH($B190,rngYear,0),MATCH(OFFSET(D190,-$A190,0),rngColumnNames,0)),"")</f>
      </c>
      <c r="E190" s="11">
        <f>IFERROR(INDEX(rngData,MATCH($B190,rngYear,0),MATCH(OFFSET(E190,-$A190,0),rngColumnNames,0)),"")</f>
      </c>
      <c r="F190" s="11">
        <f t="shared" si="12"/>
      </c>
      <c r="G190" s="11">
        <f>IFERROR(INDEX(rngData,MATCH($B190,rngYear,0),MATCH(OFFSET(G190,-$A190,0),rngColumnNames,0)),"")</f>
      </c>
      <c r="H190" s="11">
        <f>IFERROR(INDEX(rngData,MATCH($B190,rngYear,0),MATCH(OFFSET(H190,-$A190,0),rngColumnNames,0)),"")</f>
      </c>
      <c r="I190" s="11">
        <f>IFERROR(INDEX(rngData,MATCH($B190,rngYear,0),MATCH(OFFSET(I190,-$A190,0),rngColumnNames,0)),"")</f>
      </c>
      <c r="J190" s="11">
        <f t="shared" si="13"/>
      </c>
      <c r="K190" s="15">
        <f>IFERROR(INDEX(rngData,MATCH($B190,rngYear,0),MATCH(OFFSET(K190,-$A190,0),rngColumnNames,0)),"")</f>
      </c>
      <c r="L190" s="15">
        <f>IFERROR(INDEX(rngData,MATCH($B190,rngYear,0),MATCH(OFFSET(L190,-$A190,0),rngColumnNames,0)),"")</f>
      </c>
      <c r="M190" s="15">
        <f>IFERROR(INDEX(rngData,MATCH($B190,rngYear,0),MATCH(OFFSET(M190,-$A190,0),rngColumnNames,0)),"")</f>
      </c>
      <c r="N190" s="15">
        <f t="shared" si="14"/>
      </c>
    </row>
    <row r="191">
      <c r="A191" s="9">
        <f t="shared" si="15"/>
        <v>60</v>
      </c>
      <c r="B191" s="10">
        <f>IF(INDEX(rngYear,A191+1)&lt;&gt;0,INDEX(rngYear,A191+1),"")</f>
      </c>
      <c r="C191" s="11">
        <f>IFERROR(INDEX(rngData,MATCH($B191,rngYear,0),MATCH(OFFSET(C191,-$A191,0),rngColumnNames,0)),"")</f>
      </c>
      <c r="D191" s="11">
        <f>IFERROR(INDEX(rngData,MATCH($B191,rngYear,0),MATCH(OFFSET(D191,-$A191,0),rngColumnNames,0)),"")</f>
      </c>
      <c r="E191" s="11">
        <f>IFERROR(INDEX(rngData,MATCH($B191,rngYear,0),MATCH(OFFSET(E191,-$A191,0),rngColumnNames,0)),"")</f>
      </c>
      <c r="F191" s="11">
        <f t="shared" si="12"/>
      </c>
      <c r="G191" s="11">
        <f>IFERROR(INDEX(rngData,MATCH($B191,rngYear,0),MATCH(OFFSET(G191,-$A191,0),rngColumnNames,0)),"")</f>
      </c>
      <c r="H191" s="11">
        <f>IFERROR(INDEX(rngData,MATCH($B191,rngYear,0),MATCH(OFFSET(H191,-$A191,0),rngColumnNames,0)),"")</f>
      </c>
      <c r="I191" s="11">
        <f>IFERROR(INDEX(rngData,MATCH($B191,rngYear,0),MATCH(OFFSET(I191,-$A191,0),rngColumnNames,0)),"")</f>
      </c>
      <c r="J191" s="11">
        <f t="shared" si="13"/>
      </c>
      <c r="K191" s="15">
        <f>IFERROR(INDEX(rngData,MATCH($B191,rngYear,0),MATCH(OFFSET(K191,-$A191,0),rngColumnNames,0)),"")</f>
      </c>
      <c r="L191" s="15">
        <f>IFERROR(INDEX(rngData,MATCH($B191,rngYear,0),MATCH(OFFSET(L191,-$A191,0),rngColumnNames,0)),"")</f>
      </c>
      <c r="M191" s="15">
        <f>IFERROR(INDEX(rngData,MATCH($B191,rngYear,0),MATCH(OFFSET(M191,-$A191,0),rngColumnNames,0)),"")</f>
      </c>
      <c r="N191" s="15">
        <f t="shared" si="14"/>
      </c>
    </row>
    <row r="193" ht="19.5" customHeight="1">
      <c r="A193" s="16" t="s">
        <v>65</v>
      </c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</row>
    <row r="194" ht="15" customHeight="1">
      <c r="B194" s="4"/>
      <c r="C194" s="5" t="s">
        <v>2</v>
      </c>
      <c r="D194" s="17" t="s">
        <v>3</v>
      </c>
      <c r="E194" s="18"/>
      <c r="F194" s="19"/>
    </row>
    <row r="195" ht="22.5" customHeight="1">
      <c r="A195" s="6" t="s">
        <v>4</v>
      </c>
      <c r="B195" s="7" t="s">
        <v>5</v>
      </c>
      <c r="C195" s="7" t="s">
        <v>66</v>
      </c>
      <c r="D195" s="7" t="s">
        <v>67</v>
      </c>
      <c r="E195" s="7" t="s">
        <v>68</v>
      </c>
      <c r="F195" s="8" t="s">
        <v>3</v>
      </c>
    </row>
    <row r="196">
      <c r="A196" s="9">
        <v>1</v>
      </c>
      <c r="B196" s="10">
        <f>IF(INDEX(rngYear,A196+1)&lt;&gt;0,INDEX(rngYear,A196+1),"")</f>
        <v>1980</v>
      </c>
      <c r="C196" s="11">
        <f>IFERROR(INDEX(rngData,MATCH($B196,rngYear,0),MATCH(OFFSET(C196,-$A196,0),rngColumnNames,0)),"")</f>
        <v>99.782471</v>
      </c>
      <c r="D196" s="11">
        <f>IFERROR(INDEX(rngData,MATCH($B196,rngYear,0),MATCH(OFFSET(D196,-$A196,0),rngColumnNames,0)),"")</f>
        <v>99.7824</v>
      </c>
      <c r="E196" s="11">
        <f>IFERROR(INDEX(rngData,MATCH($B196,rngYear,0),MATCH(OFFSET(E196,-$A196,0),rngColumnNames,0)),"")</f>
        <v>99.782553</v>
      </c>
      <c r="F196" s="11">
        <f ref="F196:F227" t="shared" si="16">IFERROR(E196-D196,"")</f>
        <v>0.00015299999999740521</v>
      </c>
    </row>
    <row r="197">
      <c r="A197" s="9">
        <f ref="A197:A228" t="shared" si="17">A196+1</f>
        <v>2</v>
      </c>
      <c r="B197" s="10">
        <f>IF(INDEX(rngYear,A197+1)&lt;&gt;0,INDEX(rngYear,A197+1),"")</f>
        <v>1981</v>
      </c>
      <c r="C197" s="11">
        <f>IFERROR(INDEX(rngData,MATCH($B197,rngYear,0),MATCH(OFFSET(C197,-$A197,0),rngColumnNames,0)),"")</f>
        <v>99.345277</v>
      </c>
      <c r="D197" s="11">
        <f>IFERROR(INDEX(rngData,MATCH($B197,rngYear,0),MATCH(OFFSET(D197,-$A197,0),rngColumnNames,0)),"")</f>
        <v>99.340821</v>
      </c>
      <c r="E197" s="11">
        <f>IFERROR(INDEX(rngData,MATCH($B197,rngYear,0),MATCH(OFFSET(E197,-$A197,0),rngColumnNames,0)),"")</f>
        <v>99.349572</v>
      </c>
      <c r="F197" s="11">
        <f t="shared" si="16"/>
        <v>0.0087509999999895172</v>
      </c>
    </row>
    <row r="198">
      <c r="A198" s="9">
        <f t="shared" si="17"/>
        <v>3</v>
      </c>
      <c r="B198" s="10">
        <f>IF(INDEX(rngYear,A198+1)&lt;&gt;0,INDEX(rngYear,A198+1),"")</f>
        <v>1982</v>
      </c>
      <c r="C198" s="11">
        <f>IFERROR(INDEX(rngData,MATCH($B198,rngYear,0),MATCH(OFFSET(C198,-$A198,0),rngColumnNames,0)),"")</f>
        <v>98.39904</v>
      </c>
      <c r="D198" s="11">
        <f>IFERROR(INDEX(rngData,MATCH($B198,rngYear,0),MATCH(OFFSET(D198,-$A198,0),rngColumnNames,0)),"")</f>
        <v>98.395515</v>
      </c>
      <c r="E198" s="11">
        <f>IFERROR(INDEX(rngData,MATCH($B198,rngYear,0),MATCH(OFFSET(E198,-$A198,0),rngColumnNames,0)),"")</f>
        <v>98.402153</v>
      </c>
      <c r="F198" s="11">
        <f t="shared" si="16"/>
        <v>0.0066379999999952588</v>
      </c>
    </row>
    <row r="199">
      <c r="A199" s="9">
        <f t="shared" si="17"/>
        <v>4</v>
      </c>
      <c r="B199" s="10">
        <f>IF(INDEX(rngYear,A199+1)&lt;&gt;0,INDEX(rngYear,A199+1),"")</f>
        <v>1983</v>
      </c>
      <c r="C199" s="11">
        <f>IFERROR(INDEX(rngData,MATCH($B199,rngYear,0),MATCH(OFFSET(C199,-$A199,0),rngColumnNames,0)),"")</f>
        <v>97.358624</v>
      </c>
      <c r="D199" s="11">
        <f>IFERROR(INDEX(rngData,MATCH($B199,rngYear,0),MATCH(OFFSET(D199,-$A199,0),rngColumnNames,0)),"")</f>
        <v>97.350541</v>
      </c>
      <c r="E199" s="11">
        <f>IFERROR(INDEX(rngData,MATCH($B199,rngYear,0),MATCH(OFFSET(E199,-$A199,0),rngColumnNames,0)),"")</f>
        <v>97.365741</v>
      </c>
      <c r="F199" s="11">
        <f t="shared" si="16"/>
        <v>0.015199999999992997</v>
      </c>
    </row>
    <row r="200">
      <c r="A200" s="9">
        <f t="shared" si="17"/>
        <v>5</v>
      </c>
      <c r="B200" s="10">
        <f>IF(INDEX(rngYear,A200+1)&lt;&gt;0,INDEX(rngYear,A200+1),"")</f>
        <v>1984</v>
      </c>
      <c r="C200" s="11">
        <f>IFERROR(INDEX(rngData,MATCH($B200,rngYear,0),MATCH(OFFSET(C200,-$A200,0),rngColumnNames,0)),"")</f>
        <v>85.323223</v>
      </c>
      <c r="D200" s="11">
        <f>IFERROR(INDEX(rngData,MATCH($B200,rngYear,0),MATCH(OFFSET(D200,-$A200,0),rngColumnNames,0)),"")</f>
        <v>84.562703</v>
      </c>
      <c r="E200" s="11">
        <f>IFERROR(INDEX(rngData,MATCH($B200,rngYear,0),MATCH(OFFSET(E200,-$A200,0),rngColumnNames,0)),"")</f>
        <v>86.493198</v>
      </c>
      <c r="F200" s="11">
        <f t="shared" si="16"/>
        <v>1.9304950000000076</v>
      </c>
    </row>
    <row r="201">
      <c r="A201" s="9">
        <f t="shared" si="17"/>
        <v>6</v>
      </c>
      <c r="B201" s="10">
        <f>IF(INDEX(rngYear,A201+1)&lt;&gt;0,INDEX(rngYear,A201+1),"")</f>
        <v>1985</v>
      </c>
      <c r="C201" s="11">
        <f>IFERROR(INDEX(rngData,MATCH($B201,rngYear,0),MATCH(OFFSET(C201,-$A201,0),rngColumnNames,0)),"")</f>
        <v>77.176491</v>
      </c>
      <c r="D201" s="11">
        <f>IFERROR(INDEX(rngData,MATCH($B201,rngYear,0),MATCH(OFFSET(D201,-$A201,0),rngColumnNames,0)),"")</f>
        <v>76.045195</v>
      </c>
      <c r="E201" s="11">
        <f>IFERROR(INDEX(rngData,MATCH($B201,rngYear,0),MATCH(OFFSET(E201,-$A201,0),rngColumnNames,0)),"")</f>
        <v>78.986299</v>
      </c>
      <c r="F201" s="11">
        <f t="shared" si="16"/>
        <v>2.9411039999999957</v>
      </c>
    </row>
    <row r="202">
      <c r="A202" s="9">
        <f t="shared" si="17"/>
        <v>7</v>
      </c>
      <c r="B202" s="10">
        <f>IF(INDEX(rngYear,A202+1)&lt;&gt;0,INDEX(rngYear,A202+1),"")</f>
        <v>1986</v>
      </c>
      <c r="C202" s="11">
        <f>IFERROR(INDEX(rngData,MATCH($B202,rngYear,0),MATCH(OFFSET(C202,-$A202,0),rngColumnNames,0)),"")</f>
        <v>70.49062</v>
      </c>
      <c r="D202" s="11">
        <f>IFERROR(INDEX(rngData,MATCH($B202,rngYear,0),MATCH(OFFSET(D202,-$A202,0),rngColumnNames,0)),"")</f>
        <v>69.130653</v>
      </c>
      <c r="E202" s="11">
        <f>IFERROR(INDEX(rngData,MATCH($B202,rngYear,0),MATCH(OFFSET(E202,-$A202,0),rngColumnNames,0)),"")</f>
        <v>72.570668</v>
      </c>
      <c r="F202" s="11">
        <f t="shared" si="16"/>
        <v>3.4400150000000025</v>
      </c>
    </row>
    <row r="203">
      <c r="A203" s="9">
        <f t="shared" si="17"/>
        <v>8</v>
      </c>
      <c r="B203" s="10">
        <f>IF(INDEX(rngYear,A203+1)&lt;&gt;0,INDEX(rngYear,A203+1),"")</f>
        <v>1987</v>
      </c>
      <c r="C203" s="11">
        <f>IFERROR(INDEX(rngData,MATCH($B203,rngYear,0),MATCH(OFFSET(C203,-$A203,0),rngColumnNames,0)),"")</f>
        <v>64.079515</v>
      </c>
      <c r="D203" s="11">
        <f>IFERROR(INDEX(rngData,MATCH($B203,rngYear,0),MATCH(OFFSET(D203,-$A203,0),rngColumnNames,0)),"")</f>
        <v>62.662157</v>
      </c>
      <c r="E203" s="11">
        <f>IFERROR(INDEX(rngData,MATCH($B203,rngYear,0),MATCH(OFFSET(E203,-$A203,0),rngColumnNames,0)),"")</f>
        <v>66.32038</v>
      </c>
      <c r="F203" s="11">
        <f t="shared" si="16"/>
        <v>3.6582229999999996</v>
      </c>
    </row>
    <row r="204">
      <c r="A204" s="9">
        <f t="shared" si="17"/>
        <v>9</v>
      </c>
      <c r="B204" s="10">
        <f>IF(INDEX(rngYear,A204+1)&lt;&gt;0,INDEX(rngYear,A204+1),"")</f>
        <v>1988</v>
      </c>
      <c r="C204" s="11">
        <f>IFERROR(INDEX(rngData,MATCH($B204,rngYear,0),MATCH(OFFSET(C204,-$A204,0),rngColumnNames,0)),"")</f>
        <v>57.75161</v>
      </c>
      <c r="D204" s="11">
        <f>IFERROR(INDEX(rngData,MATCH($B204,rngYear,0),MATCH(OFFSET(D204,-$A204,0),rngColumnNames,0)),"")</f>
        <v>56.328074</v>
      </c>
      <c r="E204" s="11">
        <f>IFERROR(INDEX(rngData,MATCH($B204,rngYear,0),MATCH(OFFSET(E204,-$A204,0),rngColumnNames,0)),"")</f>
        <v>60.018228</v>
      </c>
      <c r="F204" s="11">
        <f t="shared" si="16"/>
        <v>3.6901539999999997</v>
      </c>
    </row>
    <row r="205">
      <c r="A205" s="9">
        <f t="shared" si="17"/>
        <v>10</v>
      </c>
      <c r="B205" s="10">
        <f>IF(INDEX(rngYear,A205+1)&lt;&gt;0,INDEX(rngYear,A205+1),"")</f>
        <v>1989</v>
      </c>
      <c r="C205" s="11">
        <f>IFERROR(INDEX(rngData,MATCH($B205,rngYear,0),MATCH(OFFSET(C205,-$A205,0),rngColumnNames,0)),"")</f>
        <v>52.487029</v>
      </c>
      <c r="D205" s="11">
        <f>IFERROR(INDEX(rngData,MATCH($B205,rngYear,0),MATCH(OFFSET(D205,-$A205,0),rngColumnNames,0)),"")</f>
        <v>50.927372</v>
      </c>
      <c r="E205" s="11">
        <f>IFERROR(INDEX(rngData,MATCH($B205,rngYear,0),MATCH(OFFSET(E205,-$A205,0),rngColumnNames,0)),"")</f>
        <v>54.640094</v>
      </c>
      <c r="F205" s="11">
        <f t="shared" si="16"/>
        <v>3.7127219999999994</v>
      </c>
    </row>
    <row r="206">
      <c r="A206" s="9">
        <f t="shared" si="17"/>
        <v>11</v>
      </c>
      <c r="B206" s="10">
        <f>IF(INDEX(rngYear,A206+1)&lt;&gt;0,INDEX(rngYear,A206+1),"")</f>
        <v>1990</v>
      </c>
      <c r="C206" s="11">
        <f>IFERROR(INDEX(rngData,MATCH($B206,rngYear,0),MATCH(OFFSET(C206,-$A206,0),rngColumnNames,0)),"")</f>
        <v>47.660855</v>
      </c>
      <c r="D206" s="11">
        <f>IFERROR(INDEX(rngData,MATCH($B206,rngYear,0),MATCH(OFFSET(D206,-$A206,0),rngColumnNames,0)),"")</f>
        <v>45.808603</v>
      </c>
      <c r="E206" s="11">
        <f>IFERROR(INDEX(rngData,MATCH($B206,rngYear,0),MATCH(OFFSET(E206,-$A206,0),rngColumnNames,0)),"")</f>
        <v>49.681051</v>
      </c>
      <c r="F206" s="11">
        <f t="shared" si="16"/>
        <v>3.8724479999999986</v>
      </c>
    </row>
    <row r="207">
      <c r="A207" s="9">
        <f t="shared" si="17"/>
        <v>12</v>
      </c>
      <c r="B207" s="10">
        <f>IF(INDEX(rngYear,A207+1)&lt;&gt;0,INDEX(rngYear,A207+1),"")</f>
        <v>1991</v>
      </c>
      <c r="C207" s="11">
        <f>IFERROR(INDEX(rngData,MATCH($B207,rngYear,0),MATCH(OFFSET(C207,-$A207,0),rngColumnNames,0)),"")</f>
        <v>42.986914</v>
      </c>
      <c r="D207" s="11">
        <f>IFERROR(INDEX(rngData,MATCH($B207,rngYear,0),MATCH(OFFSET(D207,-$A207,0),rngColumnNames,0)),"")</f>
        <v>41.099491</v>
      </c>
      <c r="E207" s="11">
        <f>IFERROR(INDEX(rngData,MATCH($B207,rngYear,0),MATCH(OFFSET(E207,-$A207,0),rngColumnNames,0)),"")</f>
        <v>44.926677</v>
      </c>
      <c r="F207" s="11">
        <f t="shared" si="16"/>
        <v>3.8271859999999975</v>
      </c>
    </row>
    <row r="208">
      <c r="A208" s="9">
        <f t="shared" si="17"/>
        <v>13</v>
      </c>
      <c r="B208" s="10">
        <f>IF(INDEX(rngYear,A208+1)&lt;&gt;0,INDEX(rngYear,A208+1),"")</f>
        <v>1992</v>
      </c>
      <c r="C208" s="11">
        <f>IFERROR(INDEX(rngData,MATCH($B208,rngYear,0),MATCH(OFFSET(C208,-$A208,0),rngColumnNames,0)),"")</f>
        <v>38.502948</v>
      </c>
      <c r="D208" s="11">
        <f>IFERROR(INDEX(rngData,MATCH($B208,rngYear,0),MATCH(OFFSET(D208,-$A208,0),rngColumnNames,0)),"")</f>
        <v>36.578967</v>
      </c>
      <c r="E208" s="11">
        <f>IFERROR(INDEX(rngData,MATCH($B208,rngYear,0),MATCH(OFFSET(E208,-$A208,0),rngColumnNames,0)),"")</f>
        <v>40.611909</v>
      </c>
      <c r="F208" s="11">
        <f t="shared" si="16"/>
        <v>4.0329419999999985</v>
      </c>
    </row>
    <row r="209">
      <c r="A209" s="9">
        <f t="shared" si="17"/>
        <v>14</v>
      </c>
      <c r="B209" s="10">
        <f>IF(INDEX(rngYear,A209+1)&lt;&gt;0,INDEX(rngYear,A209+1),"")</f>
        <v>1993</v>
      </c>
      <c r="C209" s="11">
        <f>IFERROR(INDEX(rngData,MATCH($B209,rngYear,0),MATCH(OFFSET(C209,-$A209,0),rngColumnNames,0)),"")</f>
        <v>34.601547</v>
      </c>
      <c r="D209" s="11">
        <f>IFERROR(INDEX(rngData,MATCH($B209,rngYear,0),MATCH(OFFSET(D209,-$A209,0),rngColumnNames,0)),"")</f>
        <v>32.718808</v>
      </c>
      <c r="E209" s="11">
        <f>IFERROR(INDEX(rngData,MATCH($B209,rngYear,0),MATCH(OFFSET(E209,-$A209,0),rngColumnNames,0)),"")</f>
        <v>36.557374</v>
      </c>
      <c r="F209" s="11">
        <f t="shared" si="16"/>
        <v>3.838566</v>
      </c>
    </row>
    <row r="210">
      <c r="A210" s="9">
        <f t="shared" si="17"/>
        <v>15</v>
      </c>
      <c r="B210" s="10">
        <f>IF(INDEX(rngYear,A210+1)&lt;&gt;0,INDEX(rngYear,A210+1),"")</f>
        <v>1994</v>
      </c>
      <c r="C210" s="11">
        <f>IFERROR(INDEX(rngData,MATCH($B210,rngYear,0),MATCH(OFFSET(C210,-$A210,0),rngColumnNames,0)),"")</f>
        <v>31.320794</v>
      </c>
      <c r="D210" s="11">
        <f>IFERROR(INDEX(rngData,MATCH($B210,rngYear,0),MATCH(OFFSET(D210,-$A210,0),rngColumnNames,0)),"")</f>
        <v>29.45734</v>
      </c>
      <c r="E210" s="11">
        <f>IFERROR(INDEX(rngData,MATCH($B210,rngYear,0),MATCH(OFFSET(E210,-$A210,0),rngColumnNames,0)),"")</f>
        <v>33.178886</v>
      </c>
      <c r="F210" s="11">
        <f t="shared" si="16"/>
        <v>3.721546</v>
      </c>
    </row>
    <row r="211">
      <c r="A211" s="9">
        <f t="shared" si="17"/>
        <v>16</v>
      </c>
      <c r="B211" s="10">
        <f>IF(INDEX(rngYear,A211+1)&lt;&gt;0,INDEX(rngYear,A211+1),"")</f>
        <v>1995</v>
      </c>
      <c r="C211" s="11">
        <f>IFERROR(INDEX(rngData,MATCH($B211,rngYear,0),MATCH(OFFSET(C211,-$A211,0),rngColumnNames,0)),"")</f>
        <v>28.202321</v>
      </c>
      <c r="D211" s="11">
        <f>IFERROR(INDEX(rngData,MATCH($B211,rngYear,0),MATCH(OFFSET(D211,-$A211,0),rngColumnNames,0)),"")</f>
        <v>26.498314</v>
      </c>
      <c r="E211" s="11">
        <f>IFERROR(INDEX(rngData,MATCH($B211,rngYear,0),MATCH(OFFSET(E211,-$A211,0),rngColumnNames,0)),"")</f>
        <v>29.706674</v>
      </c>
      <c r="F211" s="11">
        <f t="shared" si="16"/>
        <v>3.208359999999999</v>
      </c>
    </row>
    <row r="212">
      <c r="A212" s="9">
        <f t="shared" si="17"/>
        <v>17</v>
      </c>
      <c r="B212" s="10">
        <f>IF(INDEX(rngYear,A212+1)&lt;&gt;0,INDEX(rngYear,A212+1),"")</f>
        <v>1996</v>
      </c>
      <c r="C212" s="11">
        <f>IFERROR(INDEX(rngData,MATCH($B212,rngYear,0),MATCH(OFFSET(C212,-$A212,0),rngColumnNames,0)),"")</f>
        <v>25.2815</v>
      </c>
      <c r="D212" s="11">
        <f>IFERROR(INDEX(rngData,MATCH($B212,rngYear,0),MATCH(OFFSET(D212,-$A212,0),rngColumnNames,0)),"")</f>
        <v>23.730866</v>
      </c>
      <c r="E212" s="11">
        <f>IFERROR(INDEX(rngData,MATCH($B212,rngYear,0),MATCH(OFFSET(E212,-$A212,0),rngColumnNames,0)),"")</f>
        <v>26.616224</v>
      </c>
      <c r="F212" s="11">
        <f t="shared" si="16"/>
        <v>2.885358</v>
      </c>
    </row>
    <row r="213">
      <c r="A213" s="9">
        <f t="shared" si="17"/>
        <v>18</v>
      </c>
      <c r="B213" s="10">
        <f>IF(INDEX(rngYear,A213+1)&lt;&gt;0,INDEX(rngYear,A213+1),"")</f>
        <v>1997</v>
      </c>
      <c r="C213" s="11">
        <f>IFERROR(INDEX(rngData,MATCH($B213,rngYear,0),MATCH(OFFSET(C213,-$A213,0),rngColumnNames,0)),"")</f>
        <v>22.314176</v>
      </c>
      <c r="D213" s="11">
        <f>IFERROR(INDEX(rngData,MATCH($B213,rngYear,0),MATCH(OFFSET(D213,-$A213,0),rngColumnNames,0)),"")</f>
        <v>21.08182</v>
      </c>
      <c r="E213" s="11">
        <f>IFERROR(INDEX(rngData,MATCH($B213,rngYear,0),MATCH(OFFSET(E213,-$A213,0),rngColumnNames,0)),"")</f>
        <v>23.370122</v>
      </c>
      <c r="F213" s="11">
        <f t="shared" si="16"/>
        <v>2.2883019999999981</v>
      </c>
    </row>
    <row r="214">
      <c r="A214" s="9">
        <f t="shared" si="17"/>
        <v>19</v>
      </c>
      <c r="B214" s="10">
        <f>IF(INDEX(rngYear,A214+1)&lt;&gt;0,INDEX(rngYear,A214+1),"")</f>
        <v>1998</v>
      </c>
      <c r="C214" s="11">
        <f>IFERROR(INDEX(rngData,MATCH($B214,rngYear,0),MATCH(OFFSET(C214,-$A214,0),rngColumnNames,0)),"")</f>
        <v>19.954466</v>
      </c>
      <c r="D214" s="11">
        <f>IFERROR(INDEX(rngData,MATCH($B214,rngYear,0),MATCH(OFFSET(D214,-$A214,0),rngColumnNames,0)),"")</f>
        <v>18.779669</v>
      </c>
      <c r="E214" s="11">
        <f>IFERROR(INDEX(rngData,MATCH($B214,rngYear,0),MATCH(OFFSET(E214,-$A214,0),rngColumnNames,0)),"")</f>
        <v>20.847045</v>
      </c>
      <c r="F214" s="11">
        <f t="shared" si="16"/>
        <v>2.067376000000003</v>
      </c>
    </row>
    <row r="215">
      <c r="A215" s="9">
        <f t="shared" si="17"/>
        <v>20</v>
      </c>
      <c r="B215" s="10">
        <f>IF(INDEX(rngYear,A215+1)&lt;&gt;0,INDEX(rngYear,A215+1),"")</f>
        <v>1999</v>
      </c>
      <c r="C215" s="11">
        <f>IFERROR(INDEX(rngData,MATCH($B215,rngYear,0),MATCH(OFFSET(C215,-$A215,0),rngColumnNames,0)),"")</f>
        <v>18.266514</v>
      </c>
      <c r="D215" s="11">
        <f>IFERROR(INDEX(rngData,MATCH($B215,rngYear,0),MATCH(OFFSET(D215,-$A215,0),rngColumnNames,0)),"")</f>
        <v>17.23191</v>
      </c>
      <c r="E215" s="11">
        <f>IFERROR(INDEX(rngData,MATCH($B215,rngYear,0),MATCH(OFFSET(E215,-$A215,0),rngColumnNames,0)),"")</f>
        <v>19.070888</v>
      </c>
      <c r="F215" s="11">
        <f t="shared" si="16"/>
        <v>1.8389780000000009</v>
      </c>
    </row>
    <row r="216">
      <c r="A216" s="9">
        <f t="shared" si="17"/>
        <v>21</v>
      </c>
      <c r="B216" s="10">
        <f>IF(INDEX(rngYear,A216+1)&lt;&gt;0,INDEX(rngYear,A216+1),"")</f>
        <v>2000</v>
      </c>
      <c r="C216" s="11">
        <f>IFERROR(INDEX(rngData,MATCH($B216,rngYear,0),MATCH(OFFSET(C216,-$A216,0),rngColumnNames,0)),"")</f>
        <v>17.167676</v>
      </c>
      <c r="D216" s="11">
        <f>IFERROR(INDEX(rngData,MATCH($B216,rngYear,0),MATCH(OFFSET(D216,-$A216,0),rngColumnNames,0)),"")</f>
        <v>16.221603</v>
      </c>
      <c r="E216" s="11">
        <f>IFERROR(INDEX(rngData,MATCH($B216,rngYear,0),MATCH(OFFSET(E216,-$A216,0),rngColumnNames,0)),"")</f>
        <v>17.947965</v>
      </c>
      <c r="F216" s="11">
        <f t="shared" si="16"/>
        <v>1.7263619999999982</v>
      </c>
    </row>
    <row r="217">
      <c r="A217" s="9">
        <f t="shared" si="17"/>
        <v>22</v>
      </c>
      <c r="B217" s="10">
        <f>IF(INDEX(rngYear,A217+1)&lt;&gt;0,INDEX(rngYear,A217+1),"")</f>
        <v>2001</v>
      </c>
      <c r="C217" s="11">
        <f>IFERROR(INDEX(rngData,MATCH($B217,rngYear,0),MATCH(OFFSET(C217,-$A217,0),rngColumnNames,0)),"")</f>
        <v>16.474921</v>
      </c>
      <c r="D217" s="11">
        <f>IFERROR(INDEX(rngData,MATCH($B217,rngYear,0),MATCH(OFFSET(D217,-$A217,0),rngColumnNames,0)),"")</f>
        <v>15.561455</v>
      </c>
      <c r="E217" s="11">
        <f>IFERROR(INDEX(rngData,MATCH($B217,rngYear,0),MATCH(OFFSET(E217,-$A217,0),rngColumnNames,0)),"")</f>
        <v>17.29421</v>
      </c>
      <c r="F217" s="11">
        <f t="shared" si="16"/>
        <v>1.7327549999999992</v>
      </c>
    </row>
    <row r="218">
      <c r="A218" s="9">
        <f t="shared" si="17"/>
        <v>23</v>
      </c>
      <c r="B218" s="10">
        <f>IF(INDEX(rngYear,A218+1)&lt;&gt;0,INDEX(rngYear,A218+1),"")</f>
        <v>2002</v>
      </c>
      <c r="C218" s="11">
        <f>IFERROR(INDEX(rngData,MATCH($B218,rngYear,0),MATCH(OFFSET(C218,-$A218,0),rngColumnNames,0)),"")</f>
        <v>16.062777</v>
      </c>
      <c r="D218" s="11">
        <f>IFERROR(INDEX(rngData,MATCH($B218,rngYear,0),MATCH(OFFSET(D218,-$A218,0),rngColumnNames,0)),"")</f>
        <v>15.19635</v>
      </c>
      <c r="E218" s="11">
        <f>IFERROR(INDEX(rngData,MATCH($B218,rngYear,0),MATCH(OFFSET(E218,-$A218,0),rngColumnNames,0)),"")</f>
        <v>16.896633</v>
      </c>
      <c r="F218" s="11">
        <f t="shared" si="16"/>
        <v>1.7002830000000007</v>
      </c>
    </row>
    <row r="219">
      <c r="A219" s="9">
        <f t="shared" si="17"/>
        <v>24</v>
      </c>
      <c r="B219" s="10">
        <f>IF(INDEX(rngYear,A219+1)&lt;&gt;0,INDEX(rngYear,A219+1),"")</f>
        <v>2003</v>
      </c>
      <c r="C219" s="11">
        <f>IFERROR(INDEX(rngData,MATCH($B219,rngYear,0),MATCH(OFFSET(C219,-$A219,0),rngColumnNames,0)),"")</f>
        <v>15.850058</v>
      </c>
      <c r="D219" s="11">
        <f>IFERROR(INDEX(rngData,MATCH($B219,rngYear,0),MATCH(OFFSET(D219,-$A219,0),rngColumnNames,0)),"")</f>
        <v>15.03177</v>
      </c>
      <c r="E219" s="11">
        <f>IFERROR(INDEX(rngData,MATCH($B219,rngYear,0),MATCH(OFFSET(E219,-$A219,0),rngColumnNames,0)),"")</f>
        <v>16.642097</v>
      </c>
      <c r="F219" s="11">
        <f t="shared" si="16"/>
        <v>1.6103269999999998</v>
      </c>
    </row>
    <row r="220">
      <c r="A220" s="9">
        <f t="shared" si="17"/>
        <v>25</v>
      </c>
      <c r="B220" s="10">
        <f>IF(INDEX(rngYear,A220+1)&lt;&gt;0,INDEX(rngYear,A220+1),"")</f>
        <v>2004</v>
      </c>
      <c r="C220" s="11">
        <f>IFERROR(INDEX(rngData,MATCH($B220,rngYear,0),MATCH(OFFSET(C220,-$A220,0),rngColumnNames,0)),"")</f>
        <v>15.672345</v>
      </c>
      <c r="D220" s="11">
        <f>IFERROR(INDEX(rngData,MATCH($B220,rngYear,0),MATCH(OFFSET(D220,-$A220,0),rngColumnNames,0)),"")</f>
        <v>14.91242</v>
      </c>
      <c r="E220" s="11">
        <f>IFERROR(INDEX(rngData,MATCH($B220,rngYear,0),MATCH(OFFSET(E220,-$A220,0),rngColumnNames,0)),"")</f>
        <v>16.393198</v>
      </c>
      <c r="F220" s="11">
        <f t="shared" si="16"/>
        <v>1.4807780000000026</v>
      </c>
    </row>
    <row r="221">
      <c r="A221" s="9">
        <f t="shared" si="17"/>
        <v>26</v>
      </c>
      <c r="B221" s="10">
        <f>IF(INDEX(rngYear,A221+1)&lt;&gt;0,INDEX(rngYear,A221+1),"")</f>
        <v>2005</v>
      </c>
      <c r="C221" s="11">
        <f>IFERROR(INDEX(rngData,MATCH($B221,rngYear,0),MATCH(OFFSET(C221,-$A221,0),rngColumnNames,0)),"")</f>
        <v>15.617119</v>
      </c>
      <c r="D221" s="11">
        <f>IFERROR(INDEX(rngData,MATCH($B221,rngYear,0),MATCH(OFFSET(D221,-$A221,0),rngColumnNames,0)),"")</f>
        <v>14.93332</v>
      </c>
      <c r="E221" s="11">
        <f>IFERROR(INDEX(rngData,MATCH($B221,rngYear,0),MATCH(OFFSET(E221,-$A221,0),rngColumnNames,0)),"")</f>
        <v>16.343464</v>
      </c>
      <c r="F221" s="11">
        <f t="shared" si="16"/>
        <v>1.4101440000000007</v>
      </c>
    </row>
    <row r="222">
      <c r="A222" s="9">
        <f t="shared" si="17"/>
        <v>27</v>
      </c>
      <c r="B222" s="10">
        <f>IF(INDEX(rngYear,A222+1)&lt;&gt;0,INDEX(rngYear,A222+1),"")</f>
        <v>2006</v>
      </c>
      <c r="C222" s="11">
        <f>IFERROR(INDEX(rngData,MATCH($B222,rngYear,0),MATCH(OFFSET(C222,-$A222,0),rngColumnNames,0)),"")</f>
        <v>15.580065</v>
      </c>
      <c r="D222" s="11">
        <f>IFERROR(INDEX(rngData,MATCH($B222,rngYear,0),MATCH(OFFSET(D222,-$A222,0),rngColumnNames,0)),"")</f>
        <v>14.916794</v>
      </c>
      <c r="E222" s="11">
        <f>IFERROR(INDEX(rngData,MATCH($B222,rngYear,0),MATCH(OFFSET(E222,-$A222,0),rngColumnNames,0)),"")</f>
        <v>16.200563</v>
      </c>
      <c r="F222" s="11">
        <f t="shared" si="16"/>
        <v>1.2837689999999995</v>
      </c>
    </row>
    <row r="223">
      <c r="A223" s="9">
        <f t="shared" si="17"/>
        <v>28</v>
      </c>
      <c r="B223" s="10">
        <f>IF(INDEX(rngYear,A223+1)&lt;&gt;0,INDEX(rngYear,A223+1),"")</f>
        <v>2007</v>
      </c>
      <c r="C223" s="11">
        <f>IFERROR(INDEX(rngData,MATCH($B223,rngYear,0),MATCH(OFFSET(C223,-$A223,0),rngColumnNames,0)),"")</f>
        <v>15.487984</v>
      </c>
      <c r="D223" s="11">
        <f>IFERROR(INDEX(rngData,MATCH($B223,rngYear,0),MATCH(OFFSET(D223,-$A223,0),rngColumnNames,0)),"")</f>
        <v>14.847697</v>
      </c>
      <c r="E223" s="11">
        <f>IFERROR(INDEX(rngData,MATCH($B223,rngYear,0),MATCH(OFFSET(E223,-$A223,0),rngColumnNames,0)),"")</f>
        <v>16.071632</v>
      </c>
      <c r="F223" s="11">
        <f t="shared" si="16"/>
        <v>1.2239350000000009</v>
      </c>
    </row>
    <row r="224">
      <c r="A224" s="9">
        <f t="shared" si="17"/>
        <v>29</v>
      </c>
      <c r="B224" s="10">
        <f>IF(INDEX(rngYear,A224+1)&lt;&gt;0,INDEX(rngYear,A224+1),"")</f>
        <v>2008</v>
      </c>
      <c r="C224" s="11">
        <f>IFERROR(INDEX(rngData,MATCH($B224,rngYear,0),MATCH(OFFSET(C224,-$A224,0),rngColumnNames,0)),"")</f>
        <v>15.295351</v>
      </c>
      <c r="D224" s="11">
        <f>IFERROR(INDEX(rngData,MATCH($B224,rngYear,0),MATCH(OFFSET(D224,-$A224,0),rngColumnNames,0)),"")</f>
        <v>14.692431</v>
      </c>
      <c r="E224" s="11">
        <f>IFERROR(INDEX(rngData,MATCH($B224,rngYear,0),MATCH(OFFSET(E224,-$A224,0),rngColumnNames,0)),"")</f>
        <v>15.876368</v>
      </c>
      <c r="F224" s="11">
        <f t="shared" si="16"/>
        <v>1.1839370000000002</v>
      </c>
    </row>
    <row r="225">
      <c r="A225" s="9">
        <f t="shared" si="17"/>
        <v>30</v>
      </c>
      <c r="B225" s="10">
        <f>IF(INDEX(rngYear,A225+1)&lt;&gt;0,INDEX(rngYear,A225+1),"")</f>
        <v>2009</v>
      </c>
      <c r="C225" s="11">
        <f>IFERROR(INDEX(rngData,MATCH($B225,rngYear,0),MATCH(OFFSET(C225,-$A225,0),rngColumnNames,0)),"")</f>
        <v>14.973531</v>
      </c>
      <c r="D225" s="11">
        <f>IFERROR(INDEX(rngData,MATCH($B225,rngYear,0),MATCH(OFFSET(D225,-$A225,0),rngColumnNames,0)),"")</f>
        <v>14.373322</v>
      </c>
      <c r="E225" s="11">
        <f>IFERROR(INDEX(rngData,MATCH($B225,rngYear,0),MATCH(OFFSET(E225,-$A225,0),rngColumnNames,0)),"")</f>
        <v>15.518411</v>
      </c>
      <c r="F225" s="11">
        <f t="shared" si="16"/>
        <v>1.1450890000000005</v>
      </c>
    </row>
    <row r="226">
      <c r="A226" s="9">
        <f t="shared" si="17"/>
        <v>31</v>
      </c>
      <c r="B226" s="10">
        <f>IF(INDEX(rngYear,A226+1)&lt;&gt;0,INDEX(rngYear,A226+1),"")</f>
        <v>2010</v>
      </c>
      <c r="C226" s="11">
        <f>IFERROR(INDEX(rngData,MATCH($B226,rngYear,0),MATCH(OFFSET(C226,-$A226,0),rngColumnNames,0)),"")</f>
        <v>14.600787</v>
      </c>
      <c r="D226" s="11">
        <f>IFERROR(INDEX(rngData,MATCH($B226,rngYear,0),MATCH(OFFSET(D226,-$A226,0),rngColumnNames,0)),"")</f>
        <v>14.000914</v>
      </c>
      <c r="E226" s="11">
        <f>IFERROR(INDEX(rngData,MATCH($B226,rngYear,0),MATCH(OFFSET(E226,-$A226,0),rngColumnNames,0)),"")</f>
        <v>15.162116</v>
      </c>
      <c r="F226" s="11">
        <f t="shared" si="16"/>
        <v>1.1612019999999994</v>
      </c>
    </row>
    <row r="227">
      <c r="A227" s="9">
        <f t="shared" si="17"/>
        <v>32</v>
      </c>
      <c r="B227" s="10">
        <f>IF(INDEX(rngYear,A227+1)&lt;&gt;0,INDEX(rngYear,A227+1),"")</f>
        <v>2011</v>
      </c>
      <c r="C227" s="11">
        <f>IFERROR(INDEX(rngData,MATCH($B227,rngYear,0),MATCH(OFFSET(C227,-$A227,0),rngColumnNames,0)),"")</f>
        <v>14.116294</v>
      </c>
      <c r="D227" s="11">
        <f>IFERROR(INDEX(rngData,MATCH($B227,rngYear,0),MATCH(OFFSET(D227,-$A227,0),rngColumnNames,0)),"")</f>
        <v>13.507312</v>
      </c>
      <c r="E227" s="11">
        <f>IFERROR(INDEX(rngData,MATCH($B227,rngYear,0),MATCH(OFFSET(E227,-$A227,0),rngColumnNames,0)),"")</f>
        <v>14.712241</v>
      </c>
      <c r="F227" s="11">
        <f t="shared" si="16"/>
        <v>1.204929</v>
      </c>
    </row>
    <row r="228">
      <c r="A228" s="9">
        <f t="shared" si="17"/>
        <v>33</v>
      </c>
      <c r="B228" s="10">
        <f>IF(INDEX(rngYear,A228+1)&lt;&gt;0,INDEX(rngYear,A228+1),"")</f>
        <v>2012</v>
      </c>
      <c r="C228" s="11">
        <f>IFERROR(INDEX(rngData,MATCH($B228,rngYear,0),MATCH(OFFSET(C228,-$A228,0),rngColumnNames,0)),"")</f>
        <v>13.602648</v>
      </c>
      <c r="D228" s="11">
        <f>IFERROR(INDEX(rngData,MATCH($B228,rngYear,0),MATCH(OFFSET(D228,-$A228,0),rngColumnNames,0)),"")</f>
        <v>13.016548</v>
      </c>
      <c r="E228" s="11">
        <f>IFERROR(INDEX(rngData,MATCH($B228,rngYear,0),MATCH(OFFSET(E228,-$A228,0),rngColumnNames,0)),"")</f>
        <v>14.267979</v>
      </c>
      <c r="F228" s="11">
        <f ref="F228:F255" t="shared" si="18">IFERROR(E228-D228,"")</f>
        <v>1.2514310000000002</v>
      </c>
    </row>
    <row r="229">
      <c r="A229" s="9">
        <f ref="A229:A255" t="shared" si="19">A228+1</f>
        <v>34</v>
      </c>
      <c r="B229" s="10">
        <f>IF(INDEX(rngYear,A229+1)&lt;&gt;0,INDEX(rngYear,A229+1),"")</f>
        <v>2013</v>
      </c>
      <c r="C229" s="11">
        <f>IFERROR(INDEX(rngData,MATCH($B229,rngYear,0),MATCH(OFFSET(C229,-$A229,0),rngColumnNames,0)),"")</f>
        <v>13.172569</v>
      </c>
      <c r="D229" s="11">
        <f>IFERROR(INDEX(rngData,MATCH($B229,rngYear,0),MATCH(OFFSET(D229,-$A229,0),rngColumnNames,0)),"")</f>
        <v>12.641515</v>
      </c>
      <c r="E229" s="11">
        <f>IFERROR(INDEX(rngData,MATCH($B229,rngYear,0),MATCH(OFFSET(E229,-$A229,0),rngColumnNames,0)),"")</f>
        <v>13.796378</v>
      </c>
      <c r="F229" s="11">
        <f t="shared" si="18"/>
        <v>1.1548630000000006</v>
      </c>
    </row>
    <row r="230">
      <c r="A230" s="9">
        <f t="shared" si="19"/>
        <v>35</v>
      </c>
      <c r="B230" s="10">
        <f>IF(INDEX(rngYear,A230+1)&lt;&gt;0,INDEX(rngYear,A230+1),"")</f>
        <v>2014</v>
      </c>
      <c r="C230" s="11">
        <f>IFERROR(INDEX(rngData,MATCH($B230,rngYear,0),MATCH(OFFSET(C230,-$A230,0),rngColumnNames,0)),"")</f>
        <v>12.800282</v>
      </c>
      <c r="D230" s="11">
        <f>IFERROR(INDEX(rngData,MATCH($B230,rngYear,0),MATCH(OFFSET(D230,-$A230,0),rngColumnNames,0)),"")</f>
        <v>12.292903</v>
      </c>
      <c r="E230" s="11">
        <f>IFERROR(INDEX(rngData,MATCH($B230,rngYear,0),MATCH(OFFSET(E230,-$A230,0),rngColumnNames,0)),"")</f>
        <v>13.335576</v>
      </c>
      <c r="F230" s="11">
        <f t="shared" si="18"/>
        <v>1.0426729999999989</v>
      </c>
    </row>
    <row r="231">
      <c r="A231" s="9">
        <f t="shared" si="19"/>
        <v>36</v>
      </c>
      <c r="B231" s="10">
        <f>IF(INDEX(rngYear,A231+1)&lt;&gt;0,INDEX(rngYear,A231+1),"")</f>
        <v>2015</v>
      </c>
      <c r="C231" s="11">
        <f>IFERROR(INDEX(rngData,MATCH($B231,rngYear,0),MATCH(OFFSET(C231,-$A231,0),rngColumnNames,0)),"")</f>
        <v>12.351913</v>
      </c>
      <c r="D231" s="11">
        <f>IFERROR(INDEX(rngData,MATCH($B231,rngYear,0),MATCH(OFFSET(D231,-$A231,0),rngColumnNames,0)),"")</f>
        <v>11.865321</v>
      </c>
      <c r="E231" s="11">
        <f>IFERROR(INDEX(rngData,MATCH($B231,rngYear,0),MATCH(OFFSET(E231,-$A231,0),rngColumnNames,0)),"")</f>
        <v>12.870916</v>
      </c>
      <c r="F231" s="11">
        <f t="shared" si="18"/>
        <v>1.0055949999999996</v>
      </c>
    </row>
    <row r="232">
      <c r="A232" s="9">
        <f t="shared" si="19"/>
        <v>37</v>
      </c>
      <c r="B232" s="10">
        <f>IF(INDEX(rngYear,A232+1)&lt;&gt;0,INDEX(rngYear,A232+1),"")</f>
        <v>2016</v>
      </c>
      <c r="C232" s="11">
        <f>IFERROR(INDEX(rngData,MATCH($B232,rngYear,0),MATCH(OFFSET(C232,-$A232,0),rngColumnNames,0)),"")</f>
        <v>11.908333</v>
      </c>
      <c r="D232" s="11">
        <f>IFERROR(INDEX(rngData,MATCH($B232,rngYear,0),MATCH(OFFSET(D232,-$A232,0),rngColumnNames,0)),"")</f>
        <v>11.43765</v>
      </c>
      <c r="E232" s="11">
        <f>IFERROR(INDEX(rngData,MATCH($B232,rngYear,0),MATCH(OFFSET(E232,-$A232,0),rngColumnNames,0)),"")</f>
        <v>12.349257</v>
      </c>
      <c r="F232" s="11">
        <f t="shared" si="18"/>
        <v>0.91160700000000006</v>
      </c>
    </row>
    <row r="233">
      <c r="A233" s="9">
        <f t="shared" si="19"/>
        <v>38</v>
      </c>
      <c r="B233" s="10">
        <f>IF(INDEX(rngYear,A233+1)&lt;&gt;0,INDEX(rngYear,A233+1),"")</f>
        <v>2017</v>
      </c>
      <c r="C233" s="11">
        <f>IFERROR(INDEX(rngData,MATCH($B233,rngYear,0),MATCH(OFFSET(C233,-$A233,0),rngColumnNames,0)),"")</f>
        <v>11.449232</v>
      </c>
      <c r="D233" s="11">
        <f>IFERROR(INDEX(rngData,MATCH($B233,rngYear,0),MATCH(OFFSET(D233,-$A233,0),rngColumnNames,0)),"")</f>
        <v>10.94369</v>
      </c>
      <c r="E233" s="11">
        <f>IFERROR(INDEX(rngData,MATCH($B233,rngYear,0),MATCH(OFFSET(E233,-$A233,0),rngColumnNames,0)),"")</f>
        <v>11.827935</v>
      </c>
      <c r="F233" s="11">
        <f t="shared" si="18"/>
        <v>0.884245</v>
      </c>
    </row>
    <row r="234">
      <c r="A234" s="9">
        <f t="shared" si="19"/>
        <v>39</v>
      </c>
      <c r="B234" s="10">
        <f>IF(INDEX(rngYear,A234+1)&lt;&gt;0,INDEX(rngYear,A234+1),"")</f>
        <v>2018</v>
      </c>
      <c r="C234" s="11">
        <f>IFERROR(INDEX(rngData,MATCH($B234,rngYear,0),MATCH(OFFSET(C234,-$A234,0),rngColumnNames,0)),"")</f>
        <v>10.909518</v>
      </c>
      <c r="D234" s="11">
        <f>IFERROR(INDEX(rngData,MATCH($B234,rngYear,0),MATCH(OFFSET(D234,-$A234,0),rngColumnNames,0)),"")</f>
        <v>10.378894</v>
      </c>
      <c r="E234" s="11">
        <f>IFERROR(INDEX(rngData,MATCH($B234,rngYear,0),MATCH(OFFSET(E234,-$A234,0),rngColumnNames,0)),"")</f>
        <v>11.411343</v>
      </c>
      <c r="F234" s="11">
        <f t="shared" si="18"/>
        <v>1.0324489999999997</v>
      </c>
    </row>
    <row r="235">
      <c r="A235" s="9">
        <f t="shared" si="19"/>
        <v>40</v>
      </c>
      <c r="B235" s="10">
        <f>IF(INDEX(rngYear,A235+1)&lt;&gt;0,INDEX(rngYear,A235+1),"")</f>
        <v>2019</v>
      </c>
      <c r="C235" s="11">
        <f>IFERROR(INDEX(rngData,MATCH($B235,rngYear,0),MATCH(OFFSET(C235,-$A235,0),rngColumnNames,0)),"")</f>
        <v>10.292734</v>
      </c>
      <c r="D235" s="11">
        <f>IFERROR(INDEX(rngData,MATCH($B235,rngYear,0),MATCH(OFFSET(D235,-$A235,0),rngColumnNames,0)),"")</f>
        <v>9.660834</v>
      </c>
      <c r="E235" s="11">
        <f>IFERROR(INDEX(rngData,MATCH($B235,rngYear,0),MATCH(OFFSET(E235,-$A235,0),rngColumnNames,0)),"")</f>
        <v>11.114957</v>
      </c>
      <c r="F235" s="11">
        <f t="shared" si="18"/>
        <v>1.4541230000000009</v>
      </c>
    </row>
    <row r="236">
      <c r="A236" s="9">
        <f t="shared" si="19"/>
        <v>41</v>
      </c>
      <c r="B236" s="10">
        <f>IF(INDEX(rngYear,A236+1)&lt;&gt;0,INDEX(rngYear,A236+1),"")</f>
        <v>2020</v>
      </c>
      <c r="C236" s="11">
        <f>IFERROR(INDEX(rngData,MATCH($B236,rngYear,0),MATCH(OFFSET(C236,-$A236,0),rngColumnNames,0)),"")</f>
        <v>9.875358</v>
      </c>
      <c r="D236" s="11">
        <f>IFERROR(INDEX(rngData,MATCH($B236,rngYear,0),MATCH(OFFSET(D236,-$A236,0),rngColumnNames,0)),"")</f>
        <v>9.014758</v>
      </c>
      <c r="E236" s="11">
        <f>IFERROR(INDEX(rngData,MATCH($B236,rngYear,0),MATCH(OFFSET(E236,-$A236,0),rngColumnNames,0)),"")</f>
        <v>10.976659</v>
      </c>
      <c r="F236" s="11">
        <f t="shared" si="18"/>
        <v>1.9619009999999992</v>
      </c>
    </row>
    <row r="237">
      <c r="A237" s="9">
        <f t="shared" si="19"/>
        <v>42</v>
      </c>
      <c r="B237" s="10">
        <f>IF(INDEX(rngYear,A237+1)&lt;&gt;0,INDEX(rngYear,A237+1),"")</f>
        <v>2021</v>
      </c>
      <c r="C237" s="11">
        <f>IFERROR(INDEX(rngData,MATCH($B237,rngYear,0),MATCH(OFFSET(C237,-$A237,0),rngColumnNames,0)),"")</f>
        <v>9.33436</v>
      </c>
      <c r="D237" s="11">
        <f>IFERROR(INDEX(rngData,MATCH($B237,rngYear,0),MATCH(OFFSET(D237,-$A237,0),rngColumnNames,0)),"")</f>
        <v>8.091969</v>
      </c>
      <c r="E237" s="11">
        <f>IFERROR(INDEX(rngData,MATCH($B237,rngYear,0),MATCH(OFFSET(E237,-$A237,0),rngColumnNames,0)),"")</f>
        <v>10.608861</v>
      </c>
      <c r="F237" s="11">
        <f t="shared" si="18"/>
        <v>2.5168919999999986</v>
      </c>
    </row>
    <row r="238">
      <c r="A238" s="9">
        <f t="shared" si="19"/>
        <v>43</v>
      </c>
      <c r="B238" s="10">
        <f>IF(INDEX(rngYear,A238+1)&lt;&gt;0,INDEX(rngYear,A238+1),"")</f>
        <v>2022</v>
      </c>
      <c r="C238" s="11">
        <f>IFERROR(INDEX(rngData,MATCH($B238,rngYear,0),MATCH(OFFSET(C238,-$A238,0),rngColumnNames,0)),"")</f>
        <v>8.183815</v>
      </c>
      <c r="D238" s="11">
        <f>IFERROR(INDEX(rngData,MATCH($B238,rngYear,0),MATCH(OFFSET(D238,-$A238,0),rngColumnNames,0)),"")</f>
        <v>6.539005</v>
      </c>
      <c r="E238" s="11">
        <f>IFERROR(INDEX(rngData,MATCH($B238,rngYear,0),MATCH(OFFSET(E238,-$A238,0),rngColumnNames,0)),"")</f>
        <v>9.858763</v>
      </c>
      <c r="F238" s="11">
        <f t="shared" si="18"/>
        <v>3.3197579999999993</v>
      </c>
    </row>
    <row r="239">
      <c r="A239" s="9">
        <f t="shared" si="19"/>
        <v>44</v>
      </c>
      <c r="B239" s="10">
        <f>IF(INDEX(rngYear,A239+1)&lt;&gt;0,INDEX(rngYear,A239+1),"")</f>
      </c>
      <c r="C239" s="11">
        <f>IFERROR(INDEX(rngData,MATCH($B239,rngYear,0),MATCH(OFFSET(C239,-$A239,0),rngColumnNames,0)),"")</f>
      </c>
      <c r="D239" s="11">
        <f>IFERROR(INDEX(rngData,MATCH($B239,rngYear,0),MATCH(OFFSET(D239,-$A239,0),rngColumnNames,0)),"")</f>
      </c>
      <c r="E239" s="11">
        <f>IFERROR(INDEX(rngData,MATCH($B239,rngYear,0),MATCH(OFFSET(E239,-$A239,0),rngColumnNames,0)),"")</f>
      </c>
      <c r="F239" s="11">
        <f t="shared" si="18"/>
      </c>
    </row>
    <row r="240">
      <c r="A240" s="9">
        <f t="shared" si="19"/>
        <v>45</v>
      </c>
      <c r="B240" s="10">
        <f>IF(INDEX(rngYear,A240+1)&lt;&gt;0,INDEX(rngYear,A240+1),"")</f>
      </c>
      <c r="C240" s="11">
        <f>IFERROR(INDEX(rngData,MATCH($B240,rngYear,0),MATCH(OFFSET(C240,-$A240,0),rngColumnNames,0)),"")</f>
      </c>
      <c r="D240" s="11">
        <f>IFERROR(INDEX(rngData,MATCH($B240,rngYear,0),MATCH(OFFSET(D240,-$A240,0),rngColumnNames,0)),"")</f>
      </c>
      <c r="E240" s="11">
        <f>IFERROR(INDEX(rngData,MATCH($B240,rngYear,0),MATCH(OFFSET(E240,-$A240,0),rngColumnNames,0)),"")</f>
      </c>
      <c r="F240" s="11">
        <f t="shared" si="18"/>
      </c>
    </row>
    <row r="241">
      <c r="A241" s="9">
        <f t="shared" si="19"/>
        <v>46</v>
      </c>
      <c r="B241" s="10">
        <f>IF(INDEX(rngYear,A241+1)&lt;&gt;0,INDEX(rngYear,A241+1),"")</f>
      </c>
      <c r="C241" s="11">
        <f>IFERROR(INDEX(rngData,MATCH($B241,rngYear,0),MATCH(OFFSET(C241,-$A241,0),rngColumnNames,0)),"")</f>
      </c>
      <c r="D241" s="11">
        <f>IFERROR(INDEX(rngData,MATCH($B241,rngYear,0),MATCH(OFFSET(D241,-$A241,0),rngColumnNames,0)),"")</f>
      </c>
      <c r="E241" s="11">
        <f>IFERROR(INDEX(rngData,MATCH($B241,rngYear,0),MATCH(OFFSET(E241,-$A241,0),rngColumnNames,0)),"")</f>
      </c>
      <c r="F241" s="11">
        <f t="shared" si="18"/>
      </c>
    </row>
    <row r="242">
      <c r="A242" s="9">
        <f t="shared" si="19"/>
        <v>47</v>
      </c>
      <c r="B242" s="10">
        <f>IF(INDEX(rngYear,A242+1)&lt;&gt;0,INDEX(rngYear,A242+1),"")</f>
      </c>
      <c r="C242" s="11">
        <f>IFERROR(INDEX(rngData,MATCH($B242,rngYear,0),MATCH(OFFSET(C242,-$A242,0),rngColumnNames,0)),"")</f>
      </c>
      <c r="D242" s="11">
        <f>IFERROR(INDEX(rngData,MATCH($B242,rngYear,0),MATCH(OFFSET(D242,-$A242,0),rngColumnNames,0)),"")</f>
      </c>
      <c r="E242" s="11">
        <f>IFERROR(INDEX(rngData,MATCH($B242,rngYear,0),MATCH(OFFSET(E242,-$A242,0),rngColumnNames,0)),"")</f>
      </c>
      <c r="F242" s="11">
        <f t="shared" si="18"/>
      </c>
    </row>
    <row r="243">
      <c r="A243" s="9">
        <f t="shared" si="19"/>
        <v>48</v>
      </c>
      <c r="B243" s="10">
        <f>IF(INDEX(rngYear,A243+1)&lt;&gt;0,INDEX(rngYear,A243+1),"")</f>
      </c>
      <c r="C243" s="11">
        <f>IFERROR(INDEX(rngData,MATCH($B243,rngYear,0),MATCH(OFFSET(C243,-$A243,0),rngColumnNames,0)),"")</f>
      </c>
      <c r="D243" s="11">
        <f>IFERROR(INDEX(rngData,MATCH($B243,rngYear,0),MATCH(OFFSET(D243,-$A243,0),rngColumnNames,0)),"")</f>
      </c>
      <c r="E243" s="11">
        <f>IFERROR(INDEX(rngData,MATCH($B243,rngYear,0),MATCH(OFFSET(E243,-$A243,0),rngColumnNames,0)),"")</f>
      </c>
      <c r="F243" s="11">
        <f t="shared" si="18"/>
      </c>
    </row>
    <row r="244">
      <c r="A244" s="9">
        <f t="shared" si="19"/>
        <v>49</v>
      </c>
      <c r="B244" s="10">
        <f>IF(INDEX(rngYear,A244+1)&lt;&gt;0,INDEX(rngYear,A244+1),"")</f>
      </c>
      <c r="C244" s="11">
        <f>IFERROR(INDEX(rngData,MATCH($B244,rngYear,0),MATCH(OFFSET(C244,-$A244,0),rngColumnNames,0)),"")</f>
      </c>
      <c r="D244" s="11">
        <f>IFERROR(INDEX(rngData,MATCH($B244,rngYear,0),MATCH(OFFSET(D244,-$A244,0),rngColumnNames,0)),"")</f>
      </c>
      <c r="E244" s="11">
        <f>IFERROR(INDEX(rngData,MATCH($B244,rngYear,0),MATCH(OFFSET(E244,-$A244,0),rngColumnNames,0)),"")</f>
      </c>
      <c r="F244" s="11">
        <f t="shared" si="18"/>
      </c>
    </row>
    <row r="245">
      <c r="A245" s="9">
        <f t="shared" si="19"/>
        <v>50</v>
      </c>
      <c r="B245" s="10">
        <f>IF(INDEX(rngYear,A245+1)&lt;&gt;0,INDEX(rngYear,A245+1),"")</f>
      </c>
      <c r="C245" s="11">
        <f>IFERROR(INDEX(rngData,MATCH($B245,rngYear,0),MATCH(OFFSET(C245,-$A245,0),rngColumnNames,0)),"")</f>
      </c>
      <c r="D245" s="11">
        <f>IFERROR(INDEX(rngData,MATCH($B245,rngYear,0),MATCH(OFFSET(D245,-$A245,0),rngColumnNames,0)),"")</f>
      </c>
      <c r="E245" s="11">
        <f>IFERROR(INDEX(rngData,MATCH($B245,rngYear,0),MATCH(OFFSET(E245,-$A245,0),rngColumnNames,0)),"")</f>
      </c>
      <c r="F245" s="11">
        <f t="shared" si="18"/>
      </c>
    </row>
    <row r="246">
      <c r="A246" s="9">
        <f t="shared" si="19"/>
        <v>51</v>
      </c>
      <c r="B246" s="10">
        <f>IF(INDEX(rngYear,A246+1)&lt;&gt;0,INDEX(rngYear,A246+1),"")</f>
      </c>
      <c r="C246" s="11">
        <f>IFERROR(INDEX(rngData,MATCH($B246,rngYear,0),MATCH(OFFSET(C246,-$A246,0),rngColumnNames,0)),"")</f>
      </c>
      <c r="D246" s="11">
        <f>IFERROR(INDEX(rngData,MATCH($B246,rngYear,0),MATCH(OFFSET(D246,-$A246,0),rngColumnNames,0)),"")</f>
      </c>
      <c r="E246" s="11">
        <f>IFERROR(INDEX(rngData,MATCH($B246,rngYear,0),MATCH(OFFSET(E246,-$A246,0),rngColumnNames,0)),"")</f>
      </c>
      <c r="F246" s="11">
        <f t="shared" si="18"/>
      </c>
    </row>
    <row r="247">
      <c r="A247" s="9">
        <f t="shared" si="19"/>
        <v>52</v>
      </c>
      <c r="B247" s="10">
        <f>IF(INDEX(rngYear,A247+1)&lt;&gt;0,INDEX(rngYear,A247+1),"")</f>
      </c>
      <c r="C247" s="11">
        <f>IFERROR(INDEX(rngData,MATCH($B247,rngYear,0),MATCH(OFFSET(C247,-$A247,0),rngColumnNames,0)),"")</f>
      </c>
      <c r="D247" s="11">
        <f>IFERROR(INDEX(rngData,MATCH($B247,rngYear,0),MATCH(OFFSET(D247,-$A247,0),rngColumnNames,0)),"")</f>
      </c>
      <c r="E247" s="11">
        <f>IFERROR(INDEX(rngData,MATCH($B247,rngYear,0),MATCH(OFFSET(E247,-$A247,0),rngColumnNames,0)),"")</f>
      </c>
      <c r="F247" s="11">
        <f t="shared" si="18"/>
      </c>
    </row>
    <row r="248">
      <c r="A248" s="9">
        <f t="shared" si="19"/>
        <v>53</v>
      </c>
      <c r="B248" s="10">
        <f>IF(INDEX(rngYear,A248+1)&lt;&gt;0,INDEX(rngYear,A248+1),"")</f>
      </c>
      <c r="C248" s="11">
        <f>IFERROR(INDEX(rngData,MATCH($B248,rngYear,0),MATCH(OFFSET(C248,-$A248,0),rngColumnNames,0)),"")</f>
      </c>
      <c r="D248" s="11">
        <f>IFERROR(INDEX(rngData,MATCH($B248,rngYear,0),MATCH(OFFSET(D248,-$A248,0),rngColumnNames,0)),"")</f>
      </c>
      <c r="E248" s="11">
        <f>IFERROR(INDEX(rngData,MATCH($B248,rngYear,0),MATCH(OFFSET(E248,-$A248,0),rngColumnNames,0)),"")</f>
      </c>
      <c r="F248" s="11">
        <f t="shared" si="18"/>
      </c>
    </row>
    <row r="249">
      <c r="A249" s="9">
        <f t="shared" si="19"/>
        <v>54</v>
      </c>
      <c r="B249" s="10">
        <f>IF(INDEX(rngYear,A249+1)&lt;&gt;0,INDEX(rngYear,A249+1),"")</f>
      </c>
      <c r="C249" s="11">
        <f>IFERROR(INDEX(rngData,MATCH($B249,rngYear,0),MATCH(OFFSET(C249,-$A249,0),rngColumnNames,0)),"")</f>
      </c>
      <c r="D249" s="11">
        <f>IFERROR(INDEX(rngData,MATCH($B249,rngYear,0),MATCH(OFFSET(D249,-$A249,0),rngColumnNames,0)),"")</f>
      </c>
      <c r="E249" s="11">
        <f>IFERROR(INDEX(rngData,MATCH($B249,rngYear,0),MATCH(OFFSET(E249,-$A249,0),rngColumnNames,0)),"")</f>
      </c>
      <c r="F249" s="11">
        <f t="shared" si="18"/>
      </c>
    </row>
    <row r="250">
      <c r="A250" s="9">
        <f t="shared" si="19"/>
        <v>55</v>
      </c>
      <c r="B250" s="10">
        <f>IF(INDEX(rngYear,A250+1)&lt;&gt;0,INDEX(rngYear,A250+1),"")</f>
      </c>
      <c r="C250" s="11">
        <f>IFERROR(INDEX(rngData,MATCH($B250,rngYear,0),MATCH(OFFSET(C250,-$A250,0),rngColumnNames,0)),"")</f>
      </c>
      <c r="D250" s="11">
        <f>IFERROR(INDEX(rngData,MATCH($B250,rngYear,0),MATCH(OFFSET(D250,-$A250,0),rngColumnNames,0)),"")</f>
      </c>
      <c r="E250" s="11">
        <f>IFERROR(INDEX(rngData,MATCH($B250,rngYear,0),MATCH(OFFSET(E250,-$A250,0),rngColumnNames,0)),"")</f>
      </c>
      <c r="F250" s="11">
        <f t="shared" si="18"/>
      </c>
    </row>
    <row r="251">
      <c r="A251" s="9">
        <f t="shared" si="19"/>
        <v>56</v>
      </c>
      <c r="B251" s="10">
        <f>IF(INDEX(rngYear,A251+1)&lt;&gt;0,INDEX(rngYear,A251+1),"")</f>
      </c>
      <c r="C251" s="11">
        <f>IFERROR(INDEX(rngData,MATCH($B251,rngYear,0),MATCH(OFFSET(C251,-$A251,0),rngColumnNames,0)),"")</f>
      </c>
      <c r="D251" s="11">
        <f>IFERROR(INDEX(rngData,MATCH($B251,rngYear,0),MATCH(OFFSET(D251,-$A251,0),rngColumnNames,0)),"")</f>
      </c>
      <c r="E251" s="11">
        <f>IFERROR(INDEX(rngData,MATCH($B251,rngYear,0),MATCH(OFFSET(E251,-$A251,0),rngColumnNames,0)),"")</f>
      </c>
      <c r="F251" s="11">
        <f t="shared" si="18"/>
      </c>
    </row>
    <row r="252">
      <c r="A252" s="9">
        <f t="shared" si="19"/>
        <v>57</v>
      </c>
      <c r="B252" s="10">
        <f>IF(INDEX(rngYear,A252+1)&lt;&gt;0,INDEX(rngYear,A252+1),"")</f>
      </c>
      <c r="C252" s="11">
        <f>IFERROR(INDEX(rngData,MATCH($B252,rngYear,0),MATCH(OFFSET(C252,-$A252,0),rngColumnNames,0)),"")</f>
      </c>
      <c r="D252" s="11">
        <f>IFERROR(INDEX(rngData,MATCH($B252,rngYear,0),MATCH(OFFSET(D252,-$A252,0),rngColumnNames,0)),"")</f>
      </c>
      <c r="E252" s="11">
        <f>IFERROR(INDEX(rngData,MATCH($B252,rngYear,0),MATCH(OFFSET(E252,-$A252,0),rngColumnNames,0)),"")</f>
      </c>
      <c r="F252" s="11">
        <f t="shared" si="18"/>
      </c>
    </row>
    <row r="253">
      <c r="A253" s="9">
        <f t="shared" si="19"/>
        <v>58</v>
      </c>
      <c r="B253" s="10">
        <f>IF(INDEX(rngYear,A253+1)&lt;&gt;0,INDEX(rngYear,A253+1),"")</f>
      </c>
      <c r="C253" s="11">
        <f>IFERROR(INDEX(rngData,MATCH($B253,rngYear,0),MATCH(OFFSET(C253,-$A253,0),rngColumnNames,0)),"")</f>
      </c>
      <c r="D253" s="11">
        <f>IFERROR(INDEX(rngData,MATCH($B253,rngYear,0),MATCH(OFFSET(D253,-$A253,0),rngColumnNames,0)),"")</f>
      </c>
      <c r="E253" s="11">
        <f>IFERROR(INDEX(rngData,MATCH($B253,rngYear,0),MATCH(OFFSET(E253,-$A253,0),rngColumnNames,0)),"")</f>
      </c>
      <c r="F253" s="11">
        <f t="shared" si="18"/>
      </c>
    </row>
    <row r="254">
      <c r="A254" s="9">
        <f t="shared" si="19"/>
        <v>59</v>
      </c>
      <c r="B254" s="10">
        <f>IF(INDEX(rngYear,A254+1)&lt;&gt;0,INDEX(rngYear,A254+1),"")</f>
      </c>
      <c r="C254" s="11">
        <f>IFERROR(INDEX(rngData,MATCH($B254,rngYear,0),MATCH(OFFSET(C254,-$A254,0),rngColumnNames,0)),"")</f>
      </c>
      <c r="D254" s="11">
        <f>IFERROR(INDEX(rngData,MATCH($B254,rngYear,0),MATCH(OFFSET(D254,-$A254,0),rngColumnNames,0)),"")</f>
      </c>
      <c r="E254" s="11">
        <f>IFERROR(INDEX(rngData,MATCH($B254,rngYear,0),MATCH(OFFSET(E254,-$A254,0),rngColumnNames,0)),"")</f>
      </c>
      <c r="F254" s="11">
        <f t="shared" si="18"/>
      </c>
    </row>
    <row r="255">
      <c r="A255" s="9">
        <f t="shared" si="19"/>
        <v>60</v>
      </c>
      <c r="B255" s="10">
        <f>IF(INDEX(rngYear,A255+1)&lt;&gt;0,INDEX(rngYear,A255+1),"")</f>
      </c>
      <c r="C255" s="11">
        <f>IFERROR(INDEX(rngData,MATCH($B255,rngYear,0),MATCH(OFFSET(C255,-$A255,0),rngColumnNames,0)),"")</f>
      </c>
      <c r="D255" s="11">
        <f>IFERROR(INDEX(rngData,MATCH($B255,rngYear,0),MATCH(OFFSET(D255,-$A255,0),rngColumnNames,0)),"")</f>
      </c>
      <c r="E255" s="11">
        <f>IFERROR(INDEX(rngData,MATCH($B255,rngYear,0),MATCH(OFFSET(E255,-$A255,0),rngColumnNames,0)),"")</f>
      </c>
      <c r="F255" s="11">
        <f t="shared" si="18"/>
      </c>
    </row>
  </sheetData>
  <mergeCells>
    <mergeCell ref="A1:M1"/>
    <mergeCell ref="A65:M65"/>
    <mergeCell ref="L130:N130"/>
    <mergeCell ref="D194:F194"/>
    <mergeCell ref="A129:T129"/>
    <mergeCell ref="A193:T193"/>
    <mergeCell ref="D2:F2"/>
    <mergeCell ref="D66:F66"/>
    <mergeCell ref="D130:F130"/>
    <mergeCell ref="H130:J130"/>
  </mergeCells>
  <dataValidations disablePrompts="1" count="2">
    <dataValidation type="list" allowBlank="1" showDropDown="1" showInputMessage="1" showErrorMessage="1" sqref="B3 B195 B131 B67" xr:uid="{00000000-0002-0000-0100-000000000000}">
      <formula1>"year"</formula1>
    </dataValidation>
    <dataValidation type="list" allowBlank="1" showInputMessage="1" showErrorMessage="1" sqref="J30 C195:E195 G131:I131 K131:M131 C131:E131 C67:E67 C3:E3 J222 R158 J94" xr:uid="{00000000-0002-0000-0100-000004000000}">
      <formula1>rngColumnNames</formula1>
    </dataValidation>
  </dataValidations>
  <pageMargins left="0.7" right="0.7" top="0.75" bottom="0.75" header="0.3" footer="0.3"/>
  <pageSetup paperSize="9" orientation="portrait"/>
  <headerFooter/>
  <drawing r:id="rId1"/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 tint="-0.249977111117893"/>
  </sheetPr>
  <dimension ref="A1:BX44"/>
  <sheetViews>
    <sheetView workbookViewId="0">
      <selection activeCell="F19" sqref="F19"/>
    </sheetView>
  </sheetViews>
  <sheetFormatPr defaultColWidth="9.140625" defaultRowHeight="15" x14ac:dyDescent="0.25"/>
  <sheetData>
    <row r="1">
      <c r="A1" s="0" t="s">
        <v>5</v>
      </c>
      <c r="B1" s="0" t="s">
        <v>6</v>
      </c>
      <c r="C1" s="0" t="s">
        <v>7</v>
      </c>
      <c r="D1" s="0" t="s">
        <v>11</v>
      </c>
      <c r="E1" s="0" t="s">
        <v>16</v>
      </c>
      <c r="F1" s="0" t="s">
        <v>21</v>
      </c>
      <c r="G1" s="0" t="s">
        <v>26</v>
      </c>
      <c r="H1" s="0" t="s">
        <v>12</v>
      </c>
      <c r="I1" s="0" t="s">
        <v>17</v>
      </c>
      <c r="J1" s="0" t="s">
        <v>22</v>
      </c>
      <c r="K1" s="0" t="s">
        <v>27</v>
      </c>
      <c r="L1" s="0" t="s">
        <v>36</v>
      </c>
      <c r="M1" s="0" t="s">
        <v>37</v>
      </c>
      <c r="N1" s="0" t="s">
        <v>31</v>
      </c>
      <c r="O1" s="0" t="s">
        <v>32</v>
      </c>
      <c r="P1" s="0" t="s">
        <v>41</v>
      </c>
      <c r="Q1" s="0" t="s">
        <v>45</v>
      </c>
      <c r="R1" s="0" t="s">
        <v>69</v>
      </c>
      <c r="S1" s="0" t="s">
        <v>70</v>
      </c>
      <c r="T1" s="0" t="s">
        <v>71</v>
      </c>
      <c r="U1" s="0" t="s">
        <v>72</v>
      </c>
      <c r="V1" s="0" t="s">
        <v>53</v>
      </c>
      <c r="W1" s="0" t="s">
        <v>57</v>
      </c>
      <c r="X1" s="0" t="s">
        <v>61</v>
      </c>
      <c r="Y1" s="0" t="s">
        <v>66</v>
      </c>
      <c r="Z1" s="0" t="s">
        <v>73</v>
      </c>
      <c r="AA1" s="0" t="s">
        <v>74</v>
      </c>
      <c r="AB1" s="0" t="s">
        <v>75</v>
      </c>
      <c r="AC1" s="0" t="s">
        <v>8</v>
      </c>
      <c r="AD1" s="0" t="s">
        <v>9</v>
      </c>
      <c r="AE1" s="0" t="s">
        <v>13</v>
      </c>
      <c r="AF1" s="0" t="s">
        <v>14</v>
      </c>
      <c r="AG1" s="0" t="s">
        <v>18</v>
      </c>
      <c r="AH1" s="0" t="s">
        <v>19</v>
      </c>
      <c r="AI1" s="0" t="s">
        <v>23</v>
      </c>
      <c r="AJ1" s="0" t="s">
        <v>24</v>
      </c>
      <c r="AK1" s="0" t="s">
        <v>28</v>
      </c>
      <c r="AL1" s="0" t="s">
        <v>29</v>
      </c>
      <c r="AM1" s="0" t="s">
        <v>38</v>
      </c>
      <c r="AN1" s="0" t="s">
        <v>39</v>
      </c>
      <c r="AO1" s="0" t="s">
        <v>33</v>
      </c>
      <c r="AP1" s="0" t="s">
        <v>34</v>
      </c>
      <c r="AQ1" s="0" t="s">
        <v>42</v>
      </c>
      <c r="AR1" s="0" t="s">
        <v>43</v>
      </c>
      <c r="AS1" s="0" t="s">
        <v>54</v>
      </c>
      <c r="AT1" s="0" t="s">
        <v>55</v>
      </c>
      <c r="AU1" s="0" t="s">
        <v>58</v>
      </c>
      <c r="AV1" s="0" t="s">
        <v>59</v>
      </c>
      <c r="AW1" s="0" t="s">
        <v>62</v>
      </c>
      <c r="AX1" s="0" t="s">
        <v>63</v>
      </c>
      <c r="AY1" s="0" t="s">
        <v>67</v>
      </c>
      <c r="AZ1" s="0" t="s">
        <v>68</v>
      </c>
      <c r="BA1" s="0" t="s">
        <v>76</v>
      </c>
      <c r="BB1" s="0" t="s">
        <v>77</v>
      </c>
      <c r="BC1" s="0" t="s">
        <v>78</v>
      </c>
      <c r="BD1" s="0" t="s">
        <v>79</v>
      </c>
      <c r="BE1" s="0" t="s">
        <v>80</v>
      </c>
      <c r="BF1" s="0" t="s">
        <v>81</v>
      </c>
      <c r="BG1" s="0" t="s">
        <v>82</v>
      </c>
      <c r="BH1" s="0" t="s">
        <v>83</v>
      </c>
      <c r="BI1" s="0" t="s">
        <v>46</v>
      </c>
      <c r="BJ1" s="0" t="s">
        <v>47</v>
      </c>
      <c r="BK1" s="0" t="s">
        <v>84</v>
      </c>
      <c r="BL1" s="0" t="s">
        <v>85</v>
      </c>
      <c r="BM1" s="0" t="s">
        <v>86</v>
      </c>
      <c r="BN1" s="0" t="s">
        <v>87</v>
      </c>
      <c r="BO1" s="0" t="s">
        <v>88</v>
      </c>
      <c r="BP1" s="0" t="s">
        <v>89</v>
      </c>
      <c r="BQ1" s="0" t="s">
        <v>90</v>
      </c>
      <c r="BR1" s="0" t="s">
        <v>91</v>
      </c>
      <c r="BS1" s="0" t="s">
        <v>92</v>
      </c>
      <c r="BT1" s="0" t="s">
        <v>93</v>
      </c>
      <c r="BU1" s="0" t="s">
        <v>94</v>
      </c>
      <c r="BV1" s="0" t="s">
        <v>95</v>
      </c>
      <c r="BW1" s="0" t="s">
        <v>96</v>
      </c>
      <c r="BX1" s="0" t="s">
        <v>97</v>
      </c>
    </row>
    <row r="2">
      <c r="A2" s="0">
        <v>1980</v>
      </c>
      <c r="B2" s="0">
        <v>2</v>
      </c>
      <c r="C2" s="0">
        <v>0.512307</v>
      </c>
      <c r="D2" s="0">
        <v>0</v>
      </c>
      <c r="E2" s="0">
        <v>0</v>
      </c>
      <c r="F2" s="0">
        <v>0</v>
      </c>
      <c r="G2" s="0">
        <v>0</v>
      </c>
      <c r="H2" s="0">
        <v>0</v>
      </c>
      <c r="I2" s="0">
        <v>0</v>
      </c>
      <c r="J2" s="0">
        <v>0</v>
      </c>
      <c r="K2" s="0">
        <v>0</v>
      </c>
      <c r="L2" s="0">
        <v>0</v>
      </c>
      <c r="M2" s="0">
        <v>0.512307</v>
      </c>
      <c r="N2" s="0">
        <v>0</v>
      </c>
      <c r="O2" s="0">
        <v>0.512307</v>
      </c>
      <c r="P2" s="0">
        <v>235.534805</v>
      </c>
      <c r="Q2" s="0">
        <v>11.567122</v>
      </c>
      <c r="R2" s="0">
        <v>10.8755</v>
      </c>
      <c r="S2" s="0">
        <v>6.3895</v>
      </c>
      <c r="T2" s="0">
        <v>17.2385</v>
      </c>
      <c r="U2" s="0">
        <v>0.5</v>
      </c>
      <c r="V2" s="0">
        <v>235.512216</v>
      </c>
      <c r="W2" s="0">
        <v>0.512307</v>
      </c>
      <c r="X2" s="0">
        <v>234.999909</v>
      </c>
      <c r="Y2" s="0">
        <v>99.782471</v>
      </c>
      <c r="Z2" s="0">
        <v>25.525943</v>
      </c>
      <c r="AA2" s="0">
        <v>5.874793</v>
      </c>
      <c r="AB2" s="0">
        <v>31.400736000000002</v>
      </c>
      <c r="AC2" s="0">
        <v>0.500574</v>
      </c>
      <c r="AD2" s="0">
        <v>0.527716</v>
      </c>
      <c r="AE2" s="0">
        <v>0</v>
      </c>
      <c r="AF2" s="0">
        <v>0</v>
      </c>
      <c r="AG2" s="0">
        <v>0</v>
      </c>
      <c r="AH2" s="0">
        <v>0</v>
      </c>
      <c r="AI2" s="0">
        <v>0</v>
      </c>
      <c r="AJ2" s="0">
        <v>0</v>
      </c>
      <c r="AK2" s="0">
        <v>0</v>
      </c>
      <c r="AL2" s="0">
        <v>0</v>
      </c>
      <c r="AM2" s="0">
        <v>0.500574</v>
      </c>
      <c r="AN2" s="0">
        <v>0.527716</v>
      </c>
      <c r="AO2" s="0">
        <v>0.500574</v>
      </c>
      <c r="AP2" s="0">
        <v>0.527716</v>
      </c>
      <c r="AQ2" s="0">
        <v>230.227717</v>
      </c>
      <c r="AR2" s="0">
        <v>242.597639</v>
      </c>
      <c r="AS2" s="0">
        <v>230.205646</v>
      </c>
      <c r="AT2" s="0">
        <v>242.574369</v>
      </c>
      <c r="AU2" s="0">
        <v>0.500574</v>
      </c>
      <c r="AV2" s="0">
        <v>0.527716</v>
      </c>
      <c r="AW2" s="0">
        <v>229.705071</v>
      </c>
      <c r="AX2" s="0">
        <v>242.046615</v>
      </c>
      <c r="AY2" s="0">
        <v>99.782394</v>
      </c>
      <c r="AZ2" s="0">
        <v>99.782549</v>
      </c>
      <c r="BA2" s="0">
        <v>0</v>
      </c>
      <c r="BB2" s="0">
        <v>0</v>
      </c>
      <c r="BC2" s="0">
        <v>0</v>
      </c>
      <c r="BD2" s="0">
        <v>0</v>
      </c>
      <c r="BE2" s="0">
        <v>0</v>
      </c>
      <c r="BF2" s="0">
        <v>0</v>
      </c>
      <c r="BG2" s="0">
        <v>0</v>
      </c>
      <c r="BH2" s="0">
        <v>0</v>
      </c>
      <c r="BI2" s="0">
        <v>11.567122</v>
      </c>
      <c r="BJ2" s="0">
        <v>11.567122</v>
      </c>
      <c r="BK2" s="0">
        <v>10.8755</v>
      </c>
      <c r="BL2" s="0">
        <v>10.8755</v>
      </c>
      <c r="BM2" s="0">
        <v>6.3895</v>
      </c>
      <c r="BN2" s="0">
        <v>6.3895</v>
      </c>
      <c r="BO2" s="0">
        <v>17.2385</v>
      </c>
      <c r="BP2" s="0">
        <v>17.2385</v>
      </c>
      <c r="BQ2" s="0">
        <v>0.5</v>
      </c>
      <c r="BR2" s="0">
        <v>0.5</v>
      </c>
      <c r="BS2" s="0">
        <v>24.947165</v>
      </c>
      <c r="BT2" s="0">
        <v>26.292701</v>
      </c>
      <c r="BU2" s="0">
        <v>5.741402</v>
      </c>
      <c r="BV2" s="0">
        <v>6.051294</v>
      </c>
      <c r="BW2" s="0">
        <v>30.688567</v>
      </c>
      <c r="BX2" s="0">
        <v>32.343995</v>
      </c>
    </row>
    <row r="3">
      <c r="A3" s="0">
        <v>1981</v>
      </c>
      <c r="B3" s="0">
        <v>1</v>
      </c>
      <c r="C3" s="0">
        <v>6.51325</v>
      </c>
      <c r="D3" s="0">
        <v>0</v>
      </c>
      <c r="E3" s="0">
        <v>0</v>
      </c>
      <c r="F3" s="0">
        <v>0</v>
      </c>
      <c r="G3" s="0">
        <v>0</v>
      </c>
      <c r="H3" s="0">
        <v>0</v>
      </c>
      <c r="I3" s="0">
        <v>0</v>
      </c>
      <c r="J3" s="0">
        <v>0</v>
      </c>
      <c r="K3" s="0">
        <v>0</v>
      </c>
      <c r="L3" s="0">
        <v>1</v>
      </c>
      <c r="M3" s="0">
        <v>6.51325</v>
      </c>
      <c r="N3" s="0">
        <v>0</v>
      </c>
      <c r="O3" s="0">
        <v>6.51325</v>
      </c>
      <c r="P3" s="0">
        <v>638.003748</v>
      </c>
      <c r="Q3" s="0">
        <v>11.567122</v>
      </c>
      <c r="R3" s="0">
        <v>10.8755</v>
      </c>
      <c r="S3" s="0">
        <v>6.3895</v>
      </c>
      <c r="T3" s="0">
        <v>17.2385</v>
      </c>
      <c r="U3" s="0">
        <v>1.147776</v>
      </c>
      <c r="V3" s="0">
        <v>871.911837</v>
      </c>
      <c r="W3" s="0">
        <v>5.70861</v>
      </c>
      <c r="X3" s="0">
        <v>866.203227</v>
      </c>
      <c r="Y3" s="0">
        <v>99.345277</v>
      </c>
      <c r="Z3" s="0">
        <v>125.492445</v>
      </c>
      <c r="AA3" s="0">
        <v>34.124897</v>
      </c>
      <c r="AB3" s="0">
        <v>159.617342</v>
      </c>
      <c r="AC3" s="0">
        <v>6.368275</v>
      </c>
      <c r="AD3" s="0">
        <v>6.707757</v>
      </c>
      <c r="AE3" s="0">
        <v>0</v>
      </c>
      <c r="AF3" s="0">
        <v>0</v>
      </c>
      <c r="AG3" s="0">
        <v>0</v>
      </c>
      <c r="AH3" s="0">
        <v>0</v>
      </c>
      <c r="AI3" s="0">
        <v>0</v>
      </c>
      <c r="AJ3" s="0">
        <v>0</v>
      </c>
      <c r="AK3" s="0">
        <v>0</v>
      </c>
      <c r="AL3" s="0">
        <v>0</v>
      </c>
      <c r="AM3" s="0">
        <v>6.368275</v>
      </c>
      <c r="AN3" s="0">
        <v>6.707757</v>
      </c>
      <c r="AO3" s="0">
        <v>6.368275</v>
      </c>
      <c r="AP3" s="0">
        <v>6.707757</v>
      </c>
      <c r="AQ3" s="0">
        <v>624.428638</v>
      </c>
      <c r="AR3" s="0">
        <v>656.755025</v>
      </c>
      <c r="AS3" s="0">
        <v>853.080771</v>
      </c>
      <c r="AT3" s="0">
        <v>897.716691</v>
      </c>
      <c r="AU3" s="0">
        <v>5.551902</v>
      </c>
      <c r="AV3" s="0">
        <v>5.918565</v>
      </c>
      <c r="AW3" s="0">
        <v>847.528869</v>
      </c>
      <c r="AX3" s="0">
        <v>891.798127</v>
      </c>
      <c r="AY3" s="0">
        <v>99.340827</v>
      </c>
      <c r="AZ3" s="0">
        <v>99.349194</v>
      </c>
      <c r="BA3" s="0">
        <v>0</v>
      </c>
      <c r="BB3" s="0">
        <v>0</v>
      </c>
      <c r="BC3" s="0">
        <v>0</v>
      </c>
      <c r="BD3" s="0">
        <v>0</v>
      </c>
      <c r="BE3" s="0">
        <v>0</v>
      </c>
      <c r="BF3" s="0">
        <v>0</v>
      </c>
      <c r="BG3" s="0">
        <v>0</v>
      </c>
      <c r="BH3" s="0">
        <v>0</v>
      </c>
      <c r="BI3" s="0">
        <v>11.567122</v>
      </c>
      <c r="BJ3" s="0">
        <v>11.567122</v>
      </c>
      <c r="BK3" s="0">
        <v>10.8755</v>
      </c>
      <c r="BL3" s="0">
        <v>10.8755</v>
      </c>
      <c r="BM3" s="0">
        <v>6.3895</v>
      </c>
      <c r="BN3" s="0">
        <v>6.3895</v>
      </c>
      <c r="BO3" s="0">
        <v>17.2385</v>
      </c>
      <c r="BP3" s="0">
        <v>17.2385</v>
      </c>
      <c r="BQ3" s="0">
        <v>1.147563</v>
      </c>
      <c r="BR3" s="0">
        <v>1.14799</v>
      </c>
      <c r="BS3" s="0">
        <v>122.757258</v>
      </c>
      <c r="BT3" s="0">
        <v>129.213935</v>
      </c>
      <c r="BU3" s="0">
        <v>33.37715</v>
      </c>
      <c r="BV3" s="0">
        <v>35.138662</v>
      </c>
      <c r="BW3" s="0">
        <v>156.134408</v>
      </c>
      <c r="BX3" s="0">
        <v>164.352597</v>
      </c>
    </row>
    <row r="4">
      <c r="A4" s="0">
        <v>1982</v>
      </c>
      <c r="B4" s="0">
        <v>2</v>
      </c>
      <c r="C4" s="0">
        <v>23.360227</v>
      </c>
      <c r="D4" s="0">
        <v>0</v>
      </c>
      <c r="E4" s="0">
        <v>0</v>
      </c>
      <c r="F4" s="0">
        <v>0</v>
      </c>
      <c r="G4" s="0">
        <v>1</v>
      </c>
      <c r="H4" s="0">
        <v>0</v>
      </c>
      <c r="I4" s="0">
        <v>0</v>
      </c>
      <c r="J4" s="0">
        <v>0</v>
      </c>
      <c r="K4" s="0">
        <v>0</v>
      </c>
      <c r="L4" s="0">
        <v>1</v>
      </c>
      <c r="M4" s="0">
        <v>23.360227</v>
      </c>
      <c r="N4" s="0">
        <v>1</v>
      </c>
      <c r="O4" s="0">
        <v>23.360227</v>
      </c>
      <c r="P4" s="0">
        <v>944.831517</v>
      </c>
      <c r="Q4" s="0">
        <v>11.567122</v>
      </c>
      <c r="R4" s="0">
        <v>10.8755</v>
      </c>
      <c r="S4" s="0">
        <v>6.3895</v>
      </c>
      <c r="T4" s="0">
        <v>17.2385</v>
      </c>
      <c r="U4" s="0">
        <v>1.651416</v>
      </c>
      <c r="V4" s="0">
        <v>1815.713361</v>
      </c>
      <c r="W4" s="0">
        <v>29.068837</v>
      </c>
      <c r="X4" s="0">
        <v>1786.644525</v>
      </c>
      <c r="Y4" s="0">
        <v>98.39904</v>
      </c>
      <c r="Z4" s="0">
        <v>297.536193</v>
      </c>
      <c r="AA4" s="0">
        <v>92.264653</v>
      </c>
      <c r="AB4" s="0">
        <v>389.80084600000004</v>
      </c>
      <c r="AC4" s="0">
        <v>22.858222</v>
      </c>
      <c r="AD4" s="0">
        <v>24.049745</v>
      </c>
      <c r="AE4" s="0">
        <v>0</v>
      </c>
      <c r="AF4" s="0">
        <v>0</v>
      </c>
      <c r="AG4" s="0">
        <v>0</v>
      </c>
      <c r="AH4" s="0">
        <v>0</v>
      </c>
      <c r="AI4" s="0">
        <v>0</v>
      </c>
      <c r="AJ4" s="0">
        <v>0</v>
      </c>
      <c r="AK4" s="0">
        <v>0</v>
      </c>
      <c r="AL4" s="0">
        <v>0</v>
      </c>
      <c r="AM4" s="0">
        <v>22.858222</v>
      </c>
      <c r="AN4" s="0">
        <v>24.049745</v>
      </c>
      <c r="AO4" s="0">
        <v>22.858222</v>
      </c>
      <c r="AP4" s="0">
        <v>24.049745</v>
      </c>
      <c r="AQ4" s="0">
        <v>924.995881</v>
      </c>
      <c r="AR4" s="0">
        <v>971.691295</v>
      </c>
      <c r="AS4" s="0">
        <v>1777.270245</v>
      </c>
      <c r="AT4" s="0">
        <v>1868.461675</v>
      </c>
      <c r="AU4" s="0">
        <v>28.410125</v>
      </c>
      <c r="AV4" s="0">
        <v>29.96831</v>
      </c>
      <c r="AW4" s="0">
        <v>1748.850163</v>
      </c>
      <c r="AX4" s="0">
        <v>1838.488802</v>
      </c>
      <c r="AY4" s="0">
        <v>98.395853</v>
      </c>
      <c r="AZ4" s="0">
        <v>98.402522</v>
      </c>
      <c r="BA4" s="0">
        <v>0</v>
      </c>
      <c r="BB4" s="0">
        <v>0</v>
      </c>
      <c r="BC4" s="0">
        <v>0</v>
      </c>
      <c r="BD4" s="0">
        <v>0</v>
      </c>
      <c r="BE4" s="0">
        <v>0</v>
      </c>
      <c r="BF4" s="0">
        <v>0</v>
      </c>
      <c r="BG4" s="0">
        <v>0</v>
      </c>
      <c r="BH4" s="0">
        <v>0</v>
      </c>
      <c r="BI4" s="0">
        <v>11.567122</v>
      </c>
      <c r="BJ4" s="0">
        <v>11.567122</v>
      </c>
      <c r="BK4" s="0">
        <v>10.8755</v>
      </c>
      <c r="BL4" s="0">
        <v>10.8755</v>
      </c>
      <c r="BM4" s="0">
        <v>6.3895</v>
      </c>
      <c r="BN4" s="0">
        <v>6.3895</v>
      </c>
      <c r="BO4" s="0">
        <v>17.2385</v>
      </c>
      <c r="BP4" s="0">
        <v>17.2385</v>
      </c>
      <c r="BQ4" s="0">
        <v>1.650879</v>
      </c>
      <c r="BR4" s="0">
        <v>1.651953</v>
      </c>
      <c r="BS4" s="0">
        <v>291.224934</v>
      </c>
      <c r="BT4" s="0">
        <v>306.231044</v>
      </c>
      <c r="BU4" s="0">
        <v>90.303955</v>
      </c>
      <c r="BV4" s="0">
        <v>94.970666</v>
      </c>
      <c r="BW4" s="0">
        <v>381.52888900000005</v>
      </c>
      <c r="BX4" s="0">
        <v>401.20171</v>
      </c>
    </row>
    <row r="5">
      <c r="A5" s="0">
        <v>1983</v>
      </c>
      <c r="B5" s="0">
        <v>19.05918</v>
      </c>
      <c r="C5" s="0">
        <v>53.22372</v>
      </c>
      <c r="D5" s="0">
        <v>0</v>
      </c>
      <c r="E5" s="0">
        <v>0</v>
      </c>
      <c r="F5" s="0">
        <v>0</v>
      </c>
      <c r="G5" s="0">
        <v>1</v>
      </c>
      <c r="H5" s="0">
        <v>0</v>
      </c>
      <c r="I5" s="0">
        <v>0</v>
      </c>
      <c r="J5" s="0">
        <v>0</v>
      </c>
      <c r="K5" s="0">
        <v>0</v>
      </c>
      <c r="L5" s="0">
        <v>5.746486</v>
      </c>
      <c r="M5" s="0">
        <v>53.22372</v>
      </c>
      <c r="N5" s="0">
        <v>5.746486</v>
      </c>
      <c r="O5" s="0">
        <v>53.22372</v>
      </c>
      <c r="P5" s="0">
        <v>1165.697807</v>
      </c>
      <c r="Q5" s="0">
        <v>11.567122</v>
      </c>
      <c r="R5" s="0">
        <v>10.8755</v>
      </c>
      <c r="S5" s="0">
        <v>6.3895</v>
      </c>
      <c r="T5" s="0">
        <v>17.2385</v>
      </c>
      <c r="U5" s="0">
        <v>2.148992</v>
      </c>
      <c r="V5" s="0">
        <v>2975.363601</v>
      </c>
      <c r="W5" s="0">
        <v>78.591716</v>
      </c>
      <c r="X5" s="0">
        <v>2896.771885</v>
      </c>
      <c r="Y5" s="0">
        <v>97.358584</v>
      </c>
      <c r="Z5" s="0">
        <v>530.038826</v>
      </c>
      <c r="AA5" s="0">
        <v>182.794705</v>
      </c>
      <c r="AB5" s="0">
        <v>712.833531</v>
      </c>
      <c r="AC5" s="0">
        <v>52.0966</v>
      </c>
      <c r="AD5" s="0">
        <v>54.773075</v>
      </c>
      <c r="AE5" s="0">
        <v>0</v>
      </c>
      <c r="AF5" s="0">
        <v>0</v>
      </c>
      <c r="AG5" s="0">
        <v>0</v>
      </c>
      <c r="AH5" s="0">
        <v>0</v>
      </c>
      <c r="AI5" s="0">
        <v>0</v>
      </c>
      <c r="AJ5" s="0">
        <v>0</v>
      </c>
      <c r="AK5" s="0">
        <v>0</v>
      </c>
      <c r="AL5" s="0">
        <v>0</v>
      </c>
      <c r="AM5" s="0">
        <v>52.0966</v>
      </c>
      <c r="AN5" s="0">
        <v>54.773075</v>
      </c>
      <c r="AO5" s="0">
        <v>52.0966</v>
      </c>
      <c r="AP5" s="0">
        <v>54.773075</v>
      </c>
      <c r="AQ5" s="0">
        <v>1141.644444</v>
      </c>
      <c r="AR5" s="0">
        <v>1197.427324</v>
      </c>
      <c r="AS5" s="0">
        <v>2912.916818</v>
      </c>
      <c r="AT5" s="0">
        <v>3059.773117</v>
      </c>
      <c r="AU5" s="0">
        <v>76.815841</v>
      </c>
      <c r="AV5" s="0">
        <v>81.041923</v>
      </c>
      <c r="AW5" s="0">
        <v>2836.100977</v>
      </c>
      <c r="AX5" s="0">
        <v>2978.72801</v>
      </c>
      <c r="AY5" s="0">
        <v>97.351271</v>
      </c>
      <c r="AZ5" s="0">
        <v>97.366508</v>
      </c>
      <c r="BA5" s="0">
        <v>0</v>
      </c>
      <c r="BB5" s="0">
        <v>0</v>
      </c>
      <c r="BC5" s="0">
        <v>0</v>
      </c>
      <c r="BD5" s="0">
        <v>0</v>
      </c>
      <c r="BE5" s="0">
        <v>0</v>
      </c>
      <c r="BF5" s="0">
        <v>0</v>
      </c>
      <c r="BG5" s="0">
        <v>0</v>
      </c>
      <c r="BH5" s="0">
        <v>0</v>
      </c>
      <c r="BI5" s="0">
        <v>11.567122</v>
      </c>
      <c r="BJ5" s="0">
        <v>11.567122</v>
      </c>
      <c r="BK5" s="0">
        <v>10.8755</v>
      </c>
      <c r="BL5" s="0">
        <v>10.8755</v>
      </c>
      <c r="BM5" s="0">
        <v>6.3895</v>
      </c>
      <c r="BN5" s="0">
        <v>6.3895</v>
      </c>
      <c r="BO5" s="0">
        <v>17.2385</v>
      </c>
      <c r="BP5" s="0">
        <v>17.2385</v>
      </c>
      <c r="BQ5" s="0">
        <v>2.14792</v>
      </c>
      <c r="BR5" s="0">
        <v>2.150069</v>
      </c>
      <c r="BS5" s="0">
        <v>518.893141</v>
      </c>
      <c r="BT5" s="0">
        <v>545.188595</v>
      </c>
      <c r="BU5" s="0">
        <v>178.938768</v>
      </c>
      <c r="BV5" s="0">
        <v>188.062505</v>
      </c>
      <c r="BW5" s="0">
        <v>697.831909</v>
      </c>
      <c r="BX5" s="0">
        <v>733.2511</v>
      </c>
    </row>
    <row r="6">
      <c r="A6" s="0">
        <v>1984</v>
      </c>
      <c r="B6" s="0">
        <v>465.83273</v>
      </c>
      <c r="C6" s="0">
        <v>567.836279</v>
      </c>
      <c r="D6" s="0">
        <v>10</v>
      </c>
      <c r="E6" s="0">
        <v>10</v>
      </c>
      <c r="F6" s="0">
        <v>8</v>
      </c>
      <c r="G6" s="0">
        <v>45</v>
      </c>
      <c r="H6" s="0">
        <v>38.36781</v>
      </c>
      <c r="I6" s="0">
        <v>13.516629</v>
      </c>
      <c r="J6" s="0">
        <v>7.692874</v>
      </c>
      <c r="K6" s="0">
        <v>24.817553</v>
      </c>
      <c r="L6" s="0">
        <v>37.78481</v>
      </c>
      <c r="M6" s="0">
        <v>101.480387</v>
      </c>
      <c r="N6" s="0">
        <v>37.78481</v>
      </c>
      <c r="O6" s="0">
        <v>72.972624</v>
      </c>
      <c r="P6" s="0">
        <v>1310.282312</v>
      </c>
      <c r="Q6" s="0">
        <v>5.327024</v>
      </c>
      <c r="R6" s="0">
        <v>4.2385</v>
      </c>
      <c r="S6" s="0">
        <v>2.0105</v>
      </c>
      <c r="T6" s="0">
        <v>7.6185</v>
      </c>
      <c r="U6" s="0">
        <v>2.321262</v>
      </c>
      <c r="V6" s="0">
        <v>4261.44563</v>
      </c>
      <c r="W6" s="0">
        <v>625.445203</v>
      </c>
      <c r="X6" s="0">
        <v>3636.000426</v>
      </c>
      <c r="Y6" s="0">
        <v>85.323168</v>
      </c>
      <c r="Z6" s="0">
        <v>756.076854</v>
      </c>
      <c r="AA6" s="0">
        <v>180.982035</v>
      </c>
      <c r="AB6" s="0">
        <v>937.058889</v>
      </c>
      <c r="AC6" s="0">
        <v>522.821581</v>
      </c>
      <c r="AD6" s="0">
        <v>613.020843</v>
      </c>
      <c r="AE6" s="0">
        <v>26.748439</v>
      </c>
      <c r="AF6" s="0">
        <v>52.63783</v>
      </c>
      <c r="AG6" s="0">
        <v>8.441115</v>
      </c>
      <c r="AH6" s="0">
        <v>20.200573</v>
      </c>
      <c r="AI6" s="0">
        <v>4.255232</v>
      </c>
      <c r="AJ6" s="0">
        <v>11.693665</v>
      </c>
      <c r="AK6" s="0">
        <v>19.181067</v>
      </c>
      <c r="AL6" s="0">
        <v>30.673346</v>
      </c>
      <c r="AM6" s="0">
        <v>99.214959</v>
      </c>
      <c r="AN6" s="0">
        <v>104.195822</v>
      </c>
      <c r="AO6" s="0">
        <v>69.451662</v>
      </c>
      <c r="AP6" s="0">
        <v>75.870398</v>
      </c>
      <c r="AQ6" s="0">
        <v>1283.84321</v>
      </c>
      <c r="AR6" s="0">
        <v>1344.092325</v>
      </c>
      <c r="AS6" s="0">
        <v>4172.598422</v>
      </c>
      <c r="AT6" s="0">
        <v>4379.527019</v>
      </c>
      <c r="AU6" s="0">
        <v>581.216748</v>
      </c>
      <c r="AV6" s="0">
        <v>671.889528</v>
      </c>
      <c r="AW6" s="0">
        <v>3551.310317</v>
      </c>
      <c r="AX6" s="0">
        <v>3731.356542</v>
      </c>
      <c r="AY6" s="0">
        <v>84.379388</v>
      </c>
      <c r="AZ6" s="0">
        <v>86.346127</v>
      </c>
      <c r="BA6" s="0">
        <v>0.109323</v>
      </c>
      <c r="BB6" s="0">
        <v>0.179964</v>
      </c>
      <c r="BC6" s="0">
        <v>0.056142</v>
      </c>
      <c r="BD6" s="0">
        <v>0.156494</v>
      </c>
      <c r="BE6" s="0">
        <v>0.032473</v>
      </c>
      <c r="BF6" s="0">
        <v>0.102046</v>
      </c>
      <c r="BG6" s="0">
        <v>0.724198</v>
      </c>
      <c r="BH6" s="0">
        <v>1.021156</v>
      </c>
      <c r="BI6" s="0">
        <v>4.987949</v>
      </c>
      <c r="BJ6" s="0">
        <v>5.782313</v>
      </c>
      <c r="BK6" s="0">
        <v>3.9385</v>
      </c>
      <c r="BL6" s="0">
        <v>4.6505</v>
      </c>
      <c r="BM6" s="0">
        <v>1.8535</v>
      </c>
      <c r="BN6" s="0">
        <v>2.2385</v>
      </c>
      <c r="BO6" s="0">
        <v>7.1445</v>
      </c>
      <c r="BP6" s="0">
        <v>8.2435</v>
      </c>
      <c r="BQ6" s="0">
        <v>2.302558</v>
      </c>
      <c r="BR6" s="0">
        <v>2.343005</v>
      </c>
      <c r="BS6" s="0">
        <v>730.357113</v>
      </c>
      <c r="BT6" s="0">
        <v>781.841843</v>
      </c>
      <c r="BU6" s="0">
        <v>167.132478</v>
      </c>
      <c r="BV6" s="0">
        <v>191.510677</v>
      </c>
      <c r="BW6" s="0">
        <v>897.489591</v>
      </c>
      <c r="BX6" s="0">
        <v>973.35252</v>
      </c>
    </row>
    <row r="7">
      <c r="A7" s="0">
        <v>1985</v>
      </c>
      <c r="B7" s="0">
        <v>1875.721239</v>
      </c>
      <c r="C7" s="0">
        <v>728.811853</v>
      </c>
      <c r="D7" s="0">
        <v>30</v>
      </c>
      <c r="E7" s="0">
        <v>29</v>
      </c>
      <c r="F7" s="0">
        <v>26</v>
      </c>
      <c r="G7" s="0">
        <v>76</v>
      </c>
      <c r="H7" s="0">
        <v>27.346663</v>
      </c>
      <c r="I7" s="0">
        <v>10.704444</v>
      </c>
      <c r="J7" s="0">
        <v>6.414841</v>
      </c>
      <c r="K7" s="0">
        <v>14.272896</v>
      </c>
      <c r="L7" s="0">
        <v>116.682733</v>
      </c>
      <c r="M7" s="0">
        <v>158.779683</v>
      </c>
      <c r="N7" s="0">
        <v>102.791932</v>
      </c>
      <c r="O7" s="0">
        <v>81.980673</v>
      </c>
      <c r="P7" s="0">
        <v>1388.264726</v>
      </c>
      <c r="Q7" s="0">
        <v>4.949758</v>
      </c>
      <c r="R7" s="0">
        <v>3.9015</v>
      </c>
      <c r="S7" s="0">
        <v>1.8455</v>
      </c>
      <c r="T7" s="0">
        <v>7.0655</v>
      </c>
      <c r="U7" s="0">
        <v>2.612527</v>
      </c>
      <c r="V7" s="0">
        <v>5561.07379</v>
      </c>
      <c r="W7" s="0">
        <v>1269.235162</v>
      </c>
      <c r="X7" s="0">
        <v>4291.838628</v>
      </c>
      <c r="Y7" s="0">
        <v>77.176437</v>
      </c>
      <c r="Z7" s="0">
        <v>969.633511</v>
      </c>
      <c r="AA7" s="0">
        <v>222.346348</v>
      </c>
      <c r="AB7" s="0">
        <v>1191.979859</v>
      </c>
      <c r="AC7" s="0">
        <v>691.728155</v>
      </c>
      <c r="AD7" s="0">
        <v>777.179894</v>
      </c>
      <c r="AE7" s="0">
        <v>20.132431</v>
      </c>
      <c r="AF7" s="0">
        <v>34.786139</v>
      </c>
      <c r="AG7" s="0">
        <v>8.057206</v>
      </c>
      <c r="AH7" s="0">
        <v>14.406841</v>
      </c>
      <c r="AI7" s="0">
        <v>3.833927</v>
      </c>
      <c r="AJ7" s="0">
        <v>9.807241</v>
      </c>
      <c r="AK7" s="0">
        <v>10.759066</v>
      </c>
      <c r="AL7" s="0">
        <v>17.856633</v>
      </c>
      <c r="AM7" s="0">
        <v>155.455928</v>
      </c>
      <c r="AN7" s="0">
        <v>163.200564</v>
      </c>
      <c r="AO7" s="0">
        <v>75.509786</v>
      </c>
      <c r="AP7" s="0">
        <v>86.984635</v>
      </c>
      <c r="AQ7" s="0">
        <v>1361.71774</v>
      </c>
      <c r="AR7" s="0">
        <v>1421.770989</v>
      </c>
      <c r="AS7" s="0">
        <v>5445.058154</v>
      </c>
      <c r="AT7" s="0">
        <v>5712.499705</v>
      </c>
      <c r="AU7" s="0">
        <v>1192.149293</v>
      </c>
      <c r="AV7" s="0">
        <v>1364.047528</v>
      </c>
      <c r="AW7" s="0">
        <v>4175.641626</v>
      </c>
      <c r="AX7" s="0">
        <v>4411.339824</v>
      </c>
      <c r="AY7" s="0">
        <v>75.734413</v>
      </c>
      <c r="AZ7" s="0">
        <v>78.610278</v>
      </c>
      <c r="BA7" s="0">
        <v>0.134256</v>
      </c>
      <c r="BB7" s="0">
        <v>0.199847</v>
      </c>
      <c r="BC7" s="0">
        <v>0.085522</v>
      </c>
      <c r="BD7" s="0">
        <v>0.172146</v>
      </c>
      <c r="BE7" s="0">
        <v>0.048585</v>
      </c>
      <c r="BF7" s="0">
        <v>0.11046</v>
      </c>
      <c r="BG7" s="0">
        <v>0.692856</v>
      </c>
      <c r="BH7" s="0">
        <v>0.957534</v>
      </c>
      <c r="BI7" s="0">
        <v>4.672847</v>
      </c>
      <c r="BJ7" s="0">
        <v>5.250361</v>
      </c>
      <c r="BK7" s="0">
        <v>3.6455</v>
      </c>
      <c r="BL7" s="0">
        <v>4.1725</v>
      </c>
      <c r="BM7" s="0">
        <v>1.7165</v>
      </c>
      <c r="BN7" s="0">
        <v>1.9895</v>
      </c>
      <c r="BO7" s="0">
        <v>6.6645</v>
      </c>
      <c r="BP7" s="0">
        <v>7.4975</v>
      </c>
      <c r="BQ7" s="0">
        <v>2.591601</v>
      </c>
      <c r="BR7" s="0">
        <v>2.637414</v>
      </c>
      <c r="BS7" s="0">
        <v>925.748527</v>
      </c>
      <c r="BT7" s="0">
        <v>1004.812971</v>
      </c>
      <c r="BU7" s="0">
        <v>205.04945</v>
      </c>
      <c r="BV7" s="0">
        <v>236.076964</v>
      </c>
      <c r="BW7" s="0">
        <v>1130.797977</v>
      </c>
      <c r="BX7" s="0">
        <v>1240.889935</v>
      </c>
    </row>
    <row r="8">
      <c r="A8" s="0">
        <v>1986</v>
      </c>
      <c r="B8" s="0">
        <v>1710.991518</v>
      </c>
      <c r="C8" s="0">
        <v>915.53534</v>
      </c>
      <c r="D8" s="0">
        <v>30</v>
      </c>
      <c r="E8" s="0">
        <v>7</v>
      </c>
      <c r="F8" s="0">
        <v>15</v>
      </c>
      <c r="G8" s="0">
        <v>43</v>
      </c>
      <c r="H8" s="0">
        <v>22.798432</v>
      </c>
      <c r="I8" s="0">
        <v>9.615514</v>
      </c>
      <c r="J8" s="0">
        <v>6.053392</v>
      </c>
      <c r="K8" s="0">
        <v>11.241915</v>
      </c>
      <c r="L8" s="0">
        <v>208.646628</v>
      </c>
      <c r="M8" s="0">
        <v>226.75407</v>
      </c>
      <c r="N8" s="0">
        <v>155.147493</v>
      </c>
      <c r="O8" s="0">
        <v>101.431737</v>
      </c>
      <c r="P8" s="0">
        <v>1409.324745</v>
      </c>
      <c r="Q8" s="0">
        <v>4.624052</v>
      </c>
      <c r="R8" s="0">
        <v>3.6145</v>
      </c>
      <c r="S8" s="0">
        <v>1.7085</v>
      </c>
      <c r="T8" s="0">
        <v>6.5875</v>
      </c>
      <c r="U8" s="0">
        <v>2.906961</v>
      </c>
      <c r="V8" s="0">
        <v>6782.69793</v>
      </c>
      <c r="W8" s="0">
        <v>2001.5422</v>
      </c>
      <c r="X8" s="0">
        <v>4781.15573</v>
      </c>
      <c r="Y8" s="0">
        <v>70.490471</v>
      </c>
      <c r="Z8" s="0">
        <v>1149.937634</v>
      </c>
      <c r="AA8" s="0">
        <v>273.152075</v>
      </c>
      <c r="AB8" s="0">
        <v>1423.0897089999999</v>
      </c>
      <c r="AC8" s="0">
        <v>883.894802</v>
      </c>
      <c r="AD8" s="0">
        <v>961.357291</v>
      </c>
      <c r="AE8" s="0">
        <v>14.839898</v>
      </c>
      <c r="AF8" s="0">
        <v>29.506499</v>
      </c>
      <c r="AG8" s="0">
        <v>6.674024</v>
      </c>
      <c r="AH8" s="0">
        <v>13.381635</v>
      </c>
      <c r="AI8" s="0">
        <v>4.071484</v>
      </c>
      <c r="AJ8" s="0">
        <v>8.978733</v>
      </c>
      <c r="AK8" s="0">
        <v>7.965871</v>
      </c>
      <c r="AL8" s="0">
        <v>14.672059</v>
      </c>
      <c r="AM8" s="0">
        <v>222.085643</v>
      </c>
      <c r="AN8" s="0">
        <v>233.003282</v>
      </c>
      <c r="AO8" s="0">
        <v>93.785972</v>
      </c>
      <c r="AP8" s="0">
        <v>107.735479</v>
      </c>
      <c r="AQ8" s="0">
        <v>1386.340222</v>
      </c>
      <c r="AR8" s="0">
        <v>1440.548002</v>
      </c>
      <c r="AS8" s="0">
        <v>6640.191629</v>
      </c>
      <c r="AT8" s="0">
        <v>6965.206618</v>
      </c>
      <c r="AU8" s="0">
        <v>1891.768801</v>
      </c>
      <c r="AV8" s="0">
        <v>2142.176517</v>
      </c>
      <c r="AW8" s="0">
        <v>4642.118744</v>
      </c>
      <c r="AX8" s="0">
        <v>4931.504773</v>
      </c>
      <c r="AY8" s="0">
        <v>68.796398</v>
      </c>
      <c r="AZ8" s="0">
        <v>72.029375</v>
      </c>
      <c r="BA8" s="0">
        <v>0.157937</v>
      </c>
      <c r="BB8" s="0">
        <v>0.216</v>
      </c>
      <c r="BC8" s="0">
        <v>0.114902</v>
      </c>
      <c r="BD8" s="0">
        <v>0.187799</v>
      </c>
      <c r="BE8" s="0">
        <v>0.063816</v>
      </c>
      <c r="BF8" s="0">
        <v>0.118873</v>
      </c>
      <c r="BG8" s="0">
        <v>0.661514</v>
      </c>
      <c r="BH8" s="0">
        <v>0.893912</v>
      </c>
      <c r="BI8" s="0">
        <v>4.391017</v>
      </c>
      <c r="BJ8" s="0">
        <v>4.867862</v>
      </c>
      <c r="BK8" s="0">
        <v>3.3935</v>
      </c>
      <c r="BL8" s="0">
        <v>3.8385</v>
      </c>
      <c r="BM8" s="0">
        <v>1.5995</v>
      </c>
      <c r="BN8" s="0">
        <v>1.8275</v>
      </c>
      <c r="BO8" s="0">
        <v>6.2435</v>
      </c>
      <c r="BP8" s="0">
        <v>6.9295</v>
      </c>
      <c r="BQ8" s="0">
        <v>2.876286</v>
      </c>
      <c r="BR8" s="0">
        <v>2.942186</v>
      </c>
      <c r="BS8" s="0">
        <v>1090.33285</v>
      </c>
      <c r="BT8" s="0">
        <v>1198.147032</v>
      </c>
      <c r="BU8" s="0">
        <v>252.900184</v>
      </c>
      <c r="BV8" s="0">
        <v>290.046994</v>
      </c>
      <c r="BW8" s="0">
        <v>1343.233034</v>
      </c>
      <c r="BX8" s="0">
        <v>1488.1940260000001</v>
      </c>
    </row>
    <row r="9">
      <c r="A9" s="0">
        <v>1987</v>
      </c>
      <c r="B9" s="0">
        <v>1680.213513</v>
      </c>
      <c r="C9" s="0">
        <v>1087.787153</v>
      </c>
      <c r="D9" s="0">
        <v>20</v>
      </c>
      <c r="E9" s="0">
        <v>15</v>
      </c>
      <c r="F9" s="0">
        <v>8</v>
      </c>
      <c r="G9" s="0">
        <v>30</v>
      </c>
      <c r="H9" s="0">
        <v>20.841514</v>
      </c>
      <c r="I9" s="0">
        <v>9.297362</v>
      </c>
      <c r="J9" s="0">
        <v>6.134895</v>
      </c>
      <c r="K9" s="0">
        <v>10.014901</v>
      </c>
      <c r="L9" s="0">
        <v>267.757525</v>
      </c>
      <c r="M9" s="0">
        <v>302.263889</v>
      </c>
      <c r="N9" s="0">
        <v>157.710584</v>
      </c>
      <c r="O9" s="0">
        <v>122.381126</v>
      </c>
      <c r="P9" s="0">
        <v>1383.142063</v>
      </c>
      <c r="Q9" s="0">
        <v>4.340528</v>
      </c>
      <c r="R9" s="0">
        <v>3.3685</v>
      </c>
      <c r="S9" s="0">
        <v>1.5935</v>
      </c>
      <c r="T9" s="0">
        <v>6.1705</v>
      </c>
      <c r="U9" s="0">
        <v>3.191601</v>
      </c>
      <c r="V9" s="0">
        <v>7913.845625</v>
      </c>
      <c r="W9" s="0">
        <v>2842.730983</v>
      </c>
      <c r="X9" s="0">
        <v>5071.114642</v>
      </c>
      <c r="Y9" s="0">
        <v>64.079019</v>
      </c>
      <c r="Z9" s="0">
        <v>1282.719839</v>
      </c>
      <c r="AA9" s="0">
        <v>321.404056</v>
      </c>
      <c r="AB9" s="0">
        <v>1604.1238950000002</v>
      </c>
      <c r="AC9" s="0">
        <v>1057.64636</v>
      </c>
      <c r="AD9" s="0">
        <v>1132.259453</v>
      </c>
      <c r="AE9" s="0">
        <v>14.311288</v>
      </c>
      <c r="AF9" s="0">
        <v>27.734049</v>
      </c>
      <c r="AG9" s="0">
        <v>6.05272</v>
      </c>
      <c r="AH9" s="0">
        <v>12.892477</v>
      </c>
      <c r="AI9" s="0">
        <v>4.050286</v>
      </c>
      <c r="AJ9" s="0">
        <v>8.5029</v>
      </c>
      <c r="AK9" s="0">
        <v>7.179797</v>
      </c>
      <c r="AL9" s="0">
        <v>13.552475</v>
      </c>
      <c r="AM9" s="0">
        <v>296.108225</v>
      </c>
      <c r="AN9" s="0">
        <v>310.402586</v>
      </c>
      <c r="AO9" s="0">
        <v>113.524184</v>
      </c>
      <c r="AP9" s="0">
        <v>129.944138</v>
      </c>
      <c r="AQ9" s="0">
        <v>1364.564527</v>
      </c>
      <c r="AR9" s="0">
        <v>1413.347436</v>
      </c>
      <c r="AS9" s="0">
        <v>7746.721536</v>
      </c>
      <c r="AT9" s="0">
        <v>8123.612022</v>
      </c>
      <c r="AU9" s="0">
        <v>2705.065048</v>
      </c>
      <c r="AV9" s="0">
        <v>3023.281386</v>
      </c>
      <c r="AW9" s="0">
        <v>4919.272906</v>
      </c>
      <c r="AX9" s="0">
        <v>5253.54664</v>
      </c>
      <c r="AY9" s="0">
        <v>62.251056</v>
      </c>
      <c r="AZ9" s="0">
        <v>65.748439</v>
      </c>
      <c r="BA9" s="0">
        <v>0.178804</v>
      </c>
      <c r="BB9" s="0">
        <v>0.240467</v>
      </c>
      <c r="BC9" s="0">
        <v>0.141399</v>
      </c>
      <c r="BD9" s="0">
        <v>0.203451</v>
      </c>
      <c r="BE9" s="0">
        <v>0.077832</v>
      </c>
      <c r="BF9" s="0">
        <v>0.127286</v>
      </c>
      <c r="BG9" s="0">
        <v>0.630172</v>
      </c>
      <c r="BH9" s="0">
        <v>0.83029</v>
      </c>
      <c r="BI9" s="0">
        <v>4.13214</v>
      </c>
      <c r="BJ9" s="0">
        <v>4.55046</v>
      </c>
      <c r="BK9" s="0">
        <v>3.1725</v>
      </c>
      <c r="BL9" s="0">
        <v>3.5565</v>
      </c>
      <c r="BM9" s="0">
        <v>1.4985</v>
      </c>
      <c r="BN9" s="0">
        <v>1.6905</v>
      </c>
      <c r="BO9" s="0">
        <v>5.8625</v>
      </c>
      <c r="BP9" s="0">
        <v>6.4675</v>
      </c>
      <c r="BQ9" s="0">
        <v>3.145978</v>
      </c>
      <c r="BR9" s="0">
        <v>3.236931</v>
      </c>
      <c r="BS9" s="0">
        <v>1212.079886</v>
      </c>
      <c r="BT9" s="0">
        <v>1337.668887</v>
      </c>
      <c r="BU9" s="0">
        <v>299.019957</v>
      </c>
      <c r="BV9" s="0">
        <v>339.828485</v>
      </c>
      <c r="BW9" s="0">
        <v>1511.099843</v>
      </c>
      <c r="BX9" s="0">
        <v>1677.497372</v>
      </c>
    </row>
    <row r="10">
      <c r="A10" s="0">
        <v>1988</v>
      </c>
      <c r="B10" s="0">
        <v>1475.65455</v>
      </c>
      <c r="C10" s="0">
        <v>1225.081408</v>
      </c>
      <c r="D10" s="0">
        <v>24</v>
      </c>
      <c r="E10" s="0">
        <v>9</v>
      </c>
      <c r="F10" s="0">
        <v>10</v>
      </c>
      <c r="G10" s="0">
        <v>45</v>
      </c>
      <c r="H10" s="0">
        <v>33.103579</v>
      </c>
      <c r="I10" s="0">
        <v>15.425846</v>
      </c>
      <c r="J10" s="0">
        <v>10.646875</v>
      </c>
      <c r="K10" s="0">
        <v>15.565043</v>
      </c>
      <c r="L10" s="0">
        <v>434.136277</v>
      </c>
      <c r="M10" s="0">
        <v>381.668383</v>
      </c>
      <c r="N10" s="0">
        <v>199.490116</v>
      </c>
      <c r="O10" s="0">
        <v>141.192275</v>
      </c>
      <c r="P10" s="0">
        <v>1319.396375</v>
      </c>
      <c r="Q10" s="0">
        <v>4.09193</v>
      </c>
      <c r="R10" s="0">
        <v>3.1565</v>
      </c>
      <c r="S10" s="0">
        <v>1.4955</v>
      </c>
      <c r="T10" s="0">
        <v>5.8045</v>
      </c>
      <c r="U10" s="0">
        <v>3.458784</v>
      </c>
      <c r="V10" s="0">
        <v>8933.597391</v>
      </c>
      <c r="W10" s="0">
        <v>3774.393196</v>
      </c>
      <c r="X10" s="0">
        <v>5159.204195</v>
      </c>
      <c r="Y10" s="0">
        <v>57.750579</v>
      </c>
      <c r="Z10" s="0">
        <v>1360.685088</v>
      </c>
      <c r="AA10" s="0">
        <v>361.632716</v>
      </c>
      <c r="AB10" s="0">
        <v>1722.317804</v>
      </c>
      <c r="AC10" s="0">
        <v>1192.850184</v>
      </c>
      <c r="AD10" s="0">
        <v>1270.745656</v>
      </c>
      <c r="AE10" s="0">
        <v>26.4925</v>
      </c>
      <c r="AF10" s="0">
        <v>41.269135</v>
      </c>
      <c r="AG10" s="0">
        <v>12.506605</v>
      </c>
      <c r="AH10" s="0">
        <v>20.726696</v>
      </c>
      <c r="AI10" s="0">
        <v>8.090344</v>
      </c>
      <c r="AJ10" s="0">
        <v>13.69935</v>
      </c>
      <c r="AK10" s="0">
        <v>12.312837</v>
      </c>
      <c r="AL10" s="0">
        <v>18.778164</v>
      </c>
      <c r="AM10" s="0">
        <v>373.987481</v>
      </c>
      <c r="AN10" s="0">
        <v>391.644564</v>
      </c>
      <c r="AO10" s="0">
        <v>131.742639</v>
      </c>
      <c r="AP10" s="0">
        <v>148.78216</v>
      </c>
      <c r="AQ10" s="0">
        <v>1300.144125</v>
      </c>
      <c r="AR10" s="0">
        <v>1346.06816</v>
      </c>
      <c r="AS10" s="0">
        <v>8753.511872</v>
      </c>
      <c r="AT10" s="0">
        <v>9165.631666</v>
      </c>
      <c r="AU10" s="0">
        <v>3617.748693</v>
      </c>
      <c r="AV10" s="0">
        <v>3986.887771</v>
      </c>
      <c r="AW10" s="0">
        <v>4976.274165</v>
      </c>
      <c r="AX10" s="0">
        <v>5353.80829</v>
      </c>
      <c r="AY10" s="0">
        <v>55.705739</v>
      </c>
      <c r="AZ10" s="0">
        <v>59.437857</v>
      </c>
      <c r="BA10" s="0">
        <v>0.200003</v>
      </c>
      <c r="BB10" s="0">
        <v>0.265287</v>
      </c>
      <c r="BC10" s="0">
        <v>0.165256</v>
      </c>
      <c r="BD10" s="0">
        <v>0.220423</v>
      </c>
      <c r="BE10" s="0">
        <v>0.091849</v>
      </c>
      <c r="BF10" s="0">
        <v>0.134404</v>
      </c>
      <c r="BG10" s="0">
        <v>0.59883</v>
      </c>
      <c r="BH10" s="0">
        <v>0.766668</v>
      </c>
      <c r="BI10" s="0">
        <v>3.881393</v>
      </c>
      <c r="BJ10" s="0">
        <v>4.30053</v>
      </c>
      <c r="BK10" s="0">
        <v>2.9855</v>
      </c>
      <c r="BL10" s="0">
        <v>3.3425</v>
      </c>
      <c r="BM10" s="0">
        <v>1.4055</v>
      </c>
      <c r="BN10" s="0">
        <v>1.5895</v>
      </c>
      <c r="BO10" s="0">
        <v>5.5005</v>
      </c>
      <c r="BP10" s="0">
        <v>6.1025</v>
      </c>
      <c r="BQ10" s="0">
        <v>3.39785</v>
      </c>
      <c r="BR10" s="0">
        <v>3.518419</v>
      </c>
      <c r="BS10" s="0">
        <v>1289.347746</v>
      </c>
      <c r="BT10" s="0">
        <v>1419.674568</v>
      </c>
      <c r="BU10" s="0">
        <v>338.859513</v>
      </c>
      <c r="BV10" s="0">
        <v>379.823644</v>
      </c>
      <c r="BW10" s="0">
        <v>1628.2072589999998</v>
      </c>
      <c r="BX10" s="0">
        <v>1799.498212</v>
      </c>
    </row>
    <row r="11">
      <c r="A11" s="0">
        <v>1989</v>
      </c>
      <c r="B11" s="0">
        <v>1530.72937</v>
      </c>
      <c r="C11" s="0">
        <v>1316.573145</v>
      </c>
      <c r="D11" s="0">
        <v>30</v>
      </c>
      <c r="E11" s="0">
        <v>9</v>
      </c>
      <c r="F11" s="0">
        <v>19</v>
      </c>
      <c r="G11" s="0">
        <v>54</v>
      </c>
      <c r="H11" s="0">
        <v>42.884851</v>
      </c>
      <c r="I11" s="0">
        <v>20.686384</v>
      </c>
      <c r="J11" s="0">
        <v>14.905723</v>
      </c>
      <c r="K11" s="0">
        <v>19.70446</v>
      </c>
      <c r="L11" s="0">
        <v>529.897831</v>
      </c>
      <c r="M11" s="0">
        <v>461.321755</v>
      </c>
      <c r="N11" s="0">
        <v>206.937225</v>
      </c>
      <c r="O11" s="0">
        <v>156.110736</v>
      </c>
      <c r="P11" s="0">
        <v>1227.767375</v>
      </c>
      <c r="Q11" s="0">
        <v>3.872569</v>
      </c>
      <c r="R11" s="0">
        <v>2.9725</v>
      </c>
      <c r="S11" s="0">
        <v>1.4105</v>
      </c>
      <c r="T11" s="0">
        <v>5.4825</v>
      </c>
      <c r="U11" s="0">
        <v>3.706473</v>
      </c>
      <c r="V11" s="0">
        <v>9647.57871</v>
      </c>
      <c r="W11" s="0">
        <v>4584.063481</v>
      </c>
      <c r="X11" s="0">
        <v>5063.515229</v>
      </c>
      <c r="Y11" s="0">
        <v>52.484829</v>
      </c>
      <c r="Z11" s="0">
        <v>1383.0893</v>
      </c>
      <c r="AA11" s="0">
        <v>391.038113</v>
      </c>
      <c r="AB11" s="0">
        <v>1774.1274130000002</v>
      </c>
      <c r="AC11" s="0">
        <v>1286.320312</v>
      </c>
      <c r="AD11" s="0">
        <v>1366.257398</v>
      </c>
      <c r="AE11" s="0">
        <v>35.924451</v>
      </c>
      <c r="AF11" s="0">
        <v>51.459897</v>
      </c>
      <c r="AG11" s="0">
        <v>16.681501</v>
      </c>
      <c r="AH11" s="0">
        <v>24.492577</v>
      </c>
      <c r="AI11" s="0">
        <v>11.721739</v>
      </c>
      <c r="AJ11" s="0">
        <v>18.783474</v>
      </c>
      <c r="AK11" s="0">
        <v>16.51354</v>
      </c>
      <c r="AL11" s="0">
        <v>24.517193</v>
      </c>
      <c r="AM11" s="0">
        <v>452.309846</v>
      </c>
      <c r="AN11" s="0">
        <v>472.963289</v>
      </c>
      <c r="AO11" s="0">
        <v>146.834709</v>
      </c>
      <c r="AP11" s="0">
        <v>163.613047</v>
      </c>
      <c r="AQ11" s="0">
        <v>1210.899921</v>
      </c>
      <c r="AR11" s="0">
        <v>1252.109179</v>
      </c>
      <c r="AS11" s="0">
        <v>9463.257621</v>
      </c>
      <c r="AT11" s="0">
        <v>9896.129478</v>
      </c>
      <c r="AU11" s="0">
        <v>4412.904203</v>
      </c>
      <c r="AV11" s="0">
        <v>4849.241798</v>
      </c>
      <c r="AW11" s="0">
        <v>4864.542876</v>
      </c>
      <c r="AX11" s="0">
        <v>5260.367333</v>
      </c>
      <c r="AY11" s="0">
        <v>50.508631</v>
      </c>
      <c r="AZ11" s="0">
        <v>54.30136</v>
      </c>
      <c r="BA11" s="0">
        <v>0.220599</v>
      </c>
      <c r="BB11" s="0">
        <v>0.286617</v>
      </c>
      <c r="BC11" s="0">
        <v>0.18736</v>
      </c>
      <c r="BD11" s="0">
        <v>0.243618</v>
      </c>
      <c r="BE11" s="0">
        <v>0.106674</v>
      </c>
      <c r="BF11" s="0">
        <v>0.144113</v>
      </c>
      <c r="BG11" s="0">
        <v>0.567487</v>
      </c>
      <c r="BH11" s="0">
        <v>0.707553</v>
      </c>
      <c r="BI11" s="0">
        <v>3.669094</v>
      </c>
      <c r="BJ11" s="0">
        <v>4.078838</v>
      </c>
      <c r="BK11" s="0">
        <v>2.7945</v>
      </c>
      <c r="BL11" s="0">
        <v>3.1545</v>
      </c>
      <c r="BM11" s="0">
        <v>1.3255</v>
      </c>
      <c r="BN11" s="0">
        <v>1.5005</v>
      </c>
      <c r="BO11" s="0">
        <v>5.1825</v>
      </c>
      <c r="BP11" s="0">
        <v>5.7795</v>
      </c>
      <c r="BQ11" s="0">
        <v>3.626965</v>
      </c>
      <c r="BR11" s="0">
        <v>3.783464</v>
      </c>
      <c r="BS11" s="0">
        <v>1310.711221</v>
      </c>
      <c r="BT11" s="0">
        <v>1437.185058</v>
      </c>
      <c r="BU11" s="0">
        <v>369.806252</v>
      </c>
      <c r="BV11" s="0">
        <v>408.956156</v>
      </c>
      <c r="BW11" s="0">
        <v>1680.5174729999999</v>
      </c>
      <c r="BX11" s="0">
        <v>1846.141214</v>
      </c>
    </row>
    <row r="12">
      <c r="A12" s="0">
        <v>1990</v>
      </c>
      <c r="B12" s="0">
        <v>1385.407078</v>
      </c>
      <c r="C12" s="0">
        <v>1358.342311</v>
      </c>
      <c r="D12" s="0">
        <v>30</v>
      </c>
      <c r="E12" s="0">
        <v>13</v>
      </c>
      <c r="F12" s="0">
        <v>22</v>
      </c>
      <c r="G12" s="0">
        <v>37</v>
      </c>
      <c r="H12" s="0">
        <v>42.894047</v>
      </c>
      <c r="I12" s="0">
        <v>21.270082</v>
      </c>
      <c r="J12" s="0">
        <v>15.971059</v>
      </c>
      <c r="K12" s="0">
        <v>19.208797</v>
      </c>
      <c r="L12" s="0">
        <v>588.775706</v>
      </c>
      <c r="M12" s="0">
        <v>537.790421</v>
      </c>
      <c r="N12" s="0">
        <v>161.467277</v>
      </c>
      <c r="O12" s="0">
        <v>166.273118</v>
      </c>
      <c r="P12" s="0">
        <v>1117.934758</v>
      </c>
      <c r="Q12" s="0">
        <v>3.677935</v>
      </c>
      <c r="R12" s="0">
        <v>2.8105</v>
      </c>
      <c r="S12" s="0">
        <v>1.3365</v>
      </c>
      <c r="T12" s="0">
        <v>5.1965</v>
      </c>
      <c r="U12" s="0">
        <v>3.93447</v>
      </c>
      <c r="V12" s="0">
        <v>10105.100895</v>
      </c>
      <c r="W12" s="0">
        <v>5289.324492</v>
      </c>
      <c r="X12" s="0">
        <v>4815.776403</v>
      </c>
      <c r="Y12" s="0">
        <v>47.656886</v>
      </c>
      <c r="Z12" s="0">
        <v>1354.646469</v>
      </c>
      <c r="AA12" s="0">
        <v>408.452851</v>
      </c>
      <c r="AB12" s="0">
        <v>1763.09932</v>
      </c>
      <c r="AC12" s="0">
        <v>1325.774916</v>
      </c>
      <c r="AD12" s="0">
        <v>1407.942529</v>
      </c>
      <c r="AE12" s="0">
        <v>35.320881</v>
      </c>
      <c r="AF12" s="0">
        <v>51.391068</v>
      </c>
      <c r="AG12" s="0">
        <v>16.92415</v>
      </c>
      <c r="AH12" s="0">
        <v>25.518142</v>
      </c>
      <c r="AI12" s="0">
        <v>12.588236</v>
      </c>
      <c r="AJ12" s="0">
        <v>19.901986</v>
      </c>
      <c r="AK12" s="0">
        <v>15.367818</v>
      </c>
      <c r="AL12" s="0">
        <v>22.691847</v>
      </c>
      <c r="AM12" s="0">
        <v>527.939263</v>
      </c>
      <c r="AN12" s="0">
        <v>550.817438</v>
      </c>
      <c r="AO12" s="0">
        <v>157.396872</v>
      </c>
      <c r="AP12" s="0">
        <v>173.821289</v>
      </c>
      <c r="AQ12" s="0">
        <v>1097.676875</v>
      </c>
      <c r="AR12" s="0">
        <v>1143.246243</v>
      </c>
      <c r="AS12" s="0">
        <v>9923.798567</v>
      </c>
      <c r="AT12" s="0">
        <v>10364.059221</v>
      </c>
      <c r="AU12" s="0">
        <v>5091.251058</v>
      </c>
      <c r="AV12" s="0">
        <v>5576.939577</v>
      </c>
      <c r="AW12" s="0">
        <v>4595.217189</v>
      </c>
      <c r="AX12" s="0">
        <v>5022.768423</v>
      </c>
      <c r="AY12" s="0">
        <v>45.742637</v>
      </c>
      <c r="AZ12" s="0">
        <v>49.558905</v>
      </c>
      <c r="BA12" s="0">
        <v>0.241406</v>
      </c>
      <c r="BB12" s="0">
        <v>0.307948</v>
      </c>
      <c r="BC12" s="0">
        <v>0.204128</v>
      </c>
      <c r="BD12" s="0">
        <v>0.2654</v>
      </c>
      <c r="BE12" s="0">
        <v>0.119883</v>
      </c>
      <c r="BF12" s="0">
        <v>0.152549</v>
      </c>
      <c r="BG12" s="0">
        <v>0.536145</v>
      </c>
      <c r="BH12" s="0">
        <v>0.653375</v>
      </c>
      <c r="BI12" s="0">
        <v>3.486095</v>
      </c>
      <c r="BJ12" s="0">
        <v>3.881142</v>
      </c>
      <c r="BK12" s="0">
        <v>2.6415</v>
      </c>
      <c r="BL12" s="0">
        <v>2.9885</v>
      </c>
      <c r="BM12" s="0">
        <v>1.2565</v>
      </c>
      <c r="BN12" s="0">
        <v>1.4225</v>
      </c>
      <c r="BO12" s="0">
        <v>4.9125</v>
      </c>
      <c r="BP12" s="0">
        <v>5.4905</v>
      </c>
      <c r="BQ12" s="0">
        <v>3.837424</v>
      </c>
      <c r="BR12" s="0">
        <v>4.031999</v>
      </c>
      <c r="BS12" s="0">
        <v>1284.231248</v>
      </c>
      <c r="BT12" s="0">
        <v>1412.436987</v>
      </c>
      <c r="BU12" s="0">
        <v>388.859271</v>
      </c>
      <c r="BV12" s="0">
        <v>426.638954</v>
      </c>
      <c r="BW12" s="0">
        <v>1673.090519</v>
      </c>
      <c r="BX12" s="0">
        <v>1839.075941</v>
      </c>
    </row>
    <row r="13">
      <c r="A13" s="0">
        <v>1991</v>
      </c>
      <c r="B13" s="0">
        <v>1238.191459</v>
      </c>
      <c r="C13" s="0">
        <v>1352.176113</v>
      </c>
      <c r="D13" s="0">
        <v>21</v>
      </c>
      <c r="E13" s="0">
        <v>15</v>
      </c>
      <c r="F13" s="0">
        <v>10</v>
      </c>
      <c r="G13" s="0">
        <v>39</v>
      </c>
      <c r="H13" s="0">
        <v>40.046227</v>
      </c>
      <c r="I13" s="0">
        <v>20.300629</v>
      </c>
      <c r="J13" s="0">
        <v>15.854523</v>
      </c>
      <c r="K13" s="0">
        <v>17.419124</v>
      </c>
      <c r="L13" s="0">
        <v>660.468976</v>
      </c>
      <c r="M13" s="0">
        <v>608.067638</v>
      </c>
      <c r="N13" s="0">
        <v>166.160969</v>
      </c>
      <c r="O13" s="0">
        <v>171.422778</v>
      </c>
      <c r="P13" s="0">
        <v>999.578218</v>
      </c>
      <c r="Q13" s="0">
        <v>3.504411</v>
      </c>
      <c r="R13" s="0">
        <v>2.6665</v>
      </c>
      <c r="S13" s="0">
        <v>1.2715</v>
      </c>
      <c r="T13" s="0">
        <v>4.9425</v>
      </c>
      <c r="U13" s="0">
        <v>4.142735</v>
      </c>
      <c r="V13" s="0">
        <v>10366.573778</v>
      </c>
      <c r="W13" s="0">
        <v>5910.953599</v>
      </c>
      <c r="X13" s="0">
        <v>4455.620179</v>
      </c>
      <c r="Y13" s="0">
        <v>42.980644</v>
      </c>
      <c r="Z13" s="0">
        <v>1284.068141</v>
      </c>
      <c r="AA13" s="0">
        <v>413.973735</v>
      </c>
      <c r="AB13" s="0">
        <v>1698.041876</v>
      </c>
      <c r="AC13" s="0">
        <v>1317.902778</v>
      </c>
      <c r="AD13" s="0">
        <v>1399.815824</v>
      </c>
      <c r="AE13" s="0">
        <v>31.29431</v>
      </c>
      <c r="AF13" s="0">
        <v>47.627573</v>
      </c>
      <c r="AG13" s="0">
        <v>16.217902</v>
      </c>
      <c r="AH13" s="0">
        <v>24.818367</v>
      </c>
      <c r="AI13" s="0">
        <v>12.068778</v>
      </c>
      <c r="AJ13" s="0">
        <v>19.397415</v>
      </c>
      <c r="AK13" s="0">
        <v>13.523371</v>
      </c>
      <c r="AL13" s="0">
        <v>21.279442</v>
      </c>
      <c r="AM13" s="0">
        <v>597.787424</v>
      </c>
      <c r="AN13" s="0">
        <v>622.114341</v>
      </c>
      <c r="AO13" s="0">
        <v>163.51861</v>
      </c>
      <c r="AP13" s="0">
        <v>178.87909</v>
      </c>
      <c r="AQ13" s="0">
        <v>976.094457</v>
      </c>
      <c r="AR13" s="0">
        <v>1023.7164</v>
      </c>
      <c r="AS13" s="0">
        <v>10189.204177</v>
      </c>
      <c r="AT13" s="0">
        <v>10649.517113</v>
      </c>
      <c r="AU13" s="0">
        <v>5690.379281</v>
      </c>
      <c r="AV13" s="0">
        <v>6213.642097</v>
      </c>
      <c r="AW13" s="0">
        <v>4249.543134</v>
      </c>
      <c r="AX13" s="0">
        <v>4666.939244</v>
      </c>
      <c r="AY13" s="0">
        <v>40.818906</v>
      </c>
      <c r="AZ13" s="0">
        <v>44.912229</v>
      </c>
      <c r="BA13" s="0">
        <v>0.257985</v>
      </c>
      <c r="BB13" s="0">
        <v>0.332264</v>
      </c>
      <c r="BC13" s="0">
        <v>0.215786</v>
      </c>
      <c r="BD13" s="0">
        <v>0.29038</v>
      </c>
      <c r="BE13" s="0">
        <v>0.132225</v>
      </c>
      <c r="BF13" s="0">
        <v>0.1649</v>
      </c>
      <c r="BG13" s="0">
        <v>0.504621</v>
      </c>
      <c r="BH13" s="0">
        <v>0.60081</v>
      </c>
      <c r="BI13" s="0">
        <v>3.291894</v>
      </c>
      <c r="BJ13" s="0">
        <v>3.704017</v>
      </c>
      <c r="BK13" s="0">
        <v>2.4845</v>
      </c>
      <c r="BL13" s="0">
        <v>2.8365</v>
      </c>
      <c r="BM13" s="0">
        <v>1.1865</v>
      </c>
      <c r="BN13" s="0">
        <v>1.3515</v>
      </c>
      <c r="BO13" s="0">
        <v>4.6275</v>
      </c>
      <c r="BP13" s="0">
        <v>5.2315</v>
      </c>
      <c r="BQ13" s="0">
        <v>4.027204</v>
      </c>
      <c r="BR13" s="0">
        <v>4.264089</v>
      </c>
      <c r="BS13" s="0">
        <v>1221.323396</v>
      </c>
      <c r="BT13" s="0">
        <v>1337.438729</v>
      </c>
      <c r="BU13" s="0">
        <v>394.847023</v>
      </c>
      <c r="BV13" s="0">
        <v>431.316432</v>
      </c>
      <c r="BW13" s="0">
        <v>1616.170419</v>
      </c>
      <c r="BX13" s="0">
        <v>1768.755161</v>
      </c>
    </row>
    <row r="14">
      <c r="A14" s="0">
        <v>1992</v>
      </c>
      <c r="B14" s="0">
        <v>1167.481757</v>
      </c>
      <c r="C14" s="0">
        <v>1304.470716</v>
      </c>
      <c r="D14" s="0">
        <v>81</v>
      </c>
      <c r="E14" s="0">
        <v>50</v>
      </c>
      <c r="F14" s="0">
        <v>35</v>
      </c>
      <c r="G14" s="0">
        <v>64</v>
      </c>
      <c r="H14" s="0">
        <v>109.749797</v>
      </c>
      <c r="I14" s="0">
        <v>56.608492</v>
      </c>
      <c r="J14" s="0">
        <v>45.885423</v>
      </c>
      <c r="K14" s="0">
        <v>46.156029</v>
      </c>
      <c r="L14" s="0">
        <v>726.162409</v>
      </c>
      <c r="M14" s="0">
        <v>669.746842</v>
      </c>
      <c r="N14" s="0">
        <v>159.287238</v>
      </c>
      <c r="O14" s="0">
        <v>171.787229</v>
      </c>
      <c r="P14" s="0">
        <v>882.377451</v>
      </c>
      <c r="Q14" s="0">
        <v>3.349076</v>
      </c>
      <c r="R14" s="0">
        <v>2.5395</v>
      </c>
      <c r="S14" s="0">
        <v>1.2145</v>
      </c>
      <c r="T14" s="0">
        <v>4.7145</v>
      </c>
      <c r="U14" s="0">
        <v>4.33024</v>
      </c>
      <c r="V14" s="0">
        <v>10458.630436</v>
      </c>
      <c r="W14" s="0">
        <v>6432.677922</v>
      </c>
      <c r="X14" s="0">
        <v>4025.952515</v>
      </c>
      <c r="Y14" s="0">
        <v>38.49407</v>
      </c>
      <c r="Z14" s="0">
        <v>1182.52321</v>
      </c>
      <c r="AA14" s="0">
        <v>408.726754</v>
      </c>
      <c r="AB14" s="0">
        <v>1591.249964</v>
      </c>
      <c r="AC14" s="0">
        <v>1270.740932</v>
      </c>
      <c r="AD14" s="0">
        <v>1344.819404</v>
      </c>
      <c r="AE14" s="0">
        <v>97.237835</v>
      </c>
      <c r="AF14" s="0">
        <v>125.846075</v>
      </c>
      <c r="AG14" s="0">
        <v>46.888404</v>
      </c>
      <c r="AH14" s="0">
        <v>63.891009</v>
      </c>
      <c r="AI14" s="0">
        <v>39.45631</v>
      </c>
      <c r="AJ14" s="0">
        <v>52.263345</v>
      </c>
      <c r="AK14" s="0">
        <v>39.263784</v>
      </c>
      <c r="AL14" s="0">
        <v>52.057136</v>
      </c>
      <c r="AM14" s="0">
        <v>659.50634</v>
      </c>
      <c r="AN14" s="0">
        <v>684.388428</v>
      </c>
      <c r="AO14" s="0">
        <v>163.864849</v>
      </c>
      <c r="AP14" s="0">
        <v>179.368516</v>
      </c>
      <c r="AQ14" s="0">
        <v>858.312148</v>
      </c>
      <c r="AR14" s="0">
        <v>908.227241</v>
      </c>
      <c r="AS14" s="0">
        <v>10268.086962</v>
      </c>
      <c r="AT14" s="0">
        <v>10759.500962</v>
      </c>
      <c r="AU14" s="0">
        <v>6193.873787</v>
      </c>
      <c r="AV14" s="0">
        <v>6745.336107</v>
      </c>
      <c r="AW14" s="0">
        <v>3831.609526</v>
      </c>
      <c r="AX14" s="0">
        <v>4227.074418</v>
      </c>
      <c r="AY14" s="0">
        <v>36.192415</v>
      </c>
      <c r="AZ14" s="0">
        <v>40.346045</v>
      </c>
      <c r="BA14" s="0">
        <v>0.273969</v>
      </c>
      <c r="BB14" s="0">
        <v>0.36344</v>
      </c>
      <c r="BC14" s="0">
        <v>0.2283</v>
      </c>
      <c r="BD14" s="0">
        <v>0.315905</v>
      </c>
      <c r="BE14" s="0">
        <v>0.141282</v>
      </c>
      <c r="BF14" s="0">
        <v>0.17957</v>
      </c>
      <c r="BG14" s="0">
        <v>0.455081</v>
      </c>
      <c r="BH14" s="0">
        <v>0.557171</v>
      </c>
      <c r="BI14" s="0">
        <v>3.121928</v>
      </c>
      <c r="BJ14" s="0">
        <v>3.544675</v>
      </c>
      <c r="BK14" s="0">
        <v>2.3475</v>
      </c>
      <c r="BL14" s="0">
        <v>2.7085</v>
      </c>
      <c r="BM14" s="0">
        <v>1.1265</v>
      </c>
      <c r="BN14" s="0">
        <v>1.2925</v>
      </c>
      <c r="BO14" s="0">
        <v>4.3785</v>
      </c>
      <c r="BP14" s="0">
        <v>4.9995</v>
      </c>
      <c r="BQ14" s="0">
        <v>4.189239</v>
      </c>
      <c r="BR14" s="0">
        <v>4.478765</v>
      </c>
      <c r="BS14" s="0">
        <v>1122.971946</v>
      </c>
      <c r="BT14" s="0">
        <v>1237.285202</v>
      </c>
      <c r="BU14" s="0">
        <v>389.966839</v>
      </c>
      <c r="BV14" s="0">
        <v>428.555429</v>
      </c>
      <c r="BW14" s="0">
        <v>1512.9387849999998</v>
      </c>
      <c r="BX14" s="0">
        <v>1665.840631</v>
      </c>
    </row>
    <row r="15">
      <c r="A15" s="0">
        <v>1993</v>
      </c>
      <c r="B15" s="0">
        <v>1011.174018</v>
      </c>
      <c r="C15" s="0">
        <v>1217.579264</v>
      </c>
      <c r="D15" s="0">
        <v>142</v>
      </c>
      <c r="E15" s="0">
        <v>76</v>
      </c>
      <c r="F15" s="0">
        <v>60</v>
      </c>
      <c r="G15" s="0">
        <v>56</v>
      </c>
      <c r="H15" s="0">
        <v>169.521586</v>
      </c>
      <c r="I15" s="0">
        <v>87.260052</v>
      </c>
      <c r="J15" s="0">
        <v>73.303991</v>
      </c>
      <c r="K15" s="0">
        <v>70.622262</v>
      </c>
      <c r="L15" s="0">
        <v>786.779047</v>
      </c>
      <c r="M15" s="0">
        <v>721.273303</v>
      </c>
      <c r="N15" s="0">
        <v>135.940522</v>
      </c>
      <c r="O15" s="0">
        <v>167.540437</v>
      </c>
      <c r="P15" s="0">
        <v>776.012151</v>
      </c>
      <c r="Q15" s="0">
        <v>3.209551</v>
      </c>
      <c r="R15" s="0">
        <v>2.4255</v>
      </c>
      <c r="S15" s="0">
        <v>1.1635</v>
      </c>
      <c r="T15" s="0">
        <v>4.5105</v>
      </c>
      <c r="U15" s="0">
        <v>4.500796</v>
      </c>
      <c r="V15" s="0">
        <v>10341.283399</v>
      </c>
      <c r="W15" s="0">
        <v>6764.285149</v>
      </c>
      <c r="X15" s="0">
        <v>3576.99825</v>
      </c>
      <c r="Y15" s="0">
        <v>34.5895</v>
      </c>
      <c r="Z15" s="0">
        <v>1066.276464</v>
      </c>
      <c r="AA15" s="0">
        <v>391.07355</v>
      </c>
      <c r="AB15" s="0">
        <v>1457.350014</v>
      </c>
      <c r="AC15" s="0">
        <v>1193.143223</v>
      </c>
      <c r="AD15" s="0">
        <v>1241.582165</v>
      </c>
      <c r="AE15" s="0">
        <v>152.712101</v>
      </c>
      <c r="AF15" s="0">
        <v>185.501646</v>
      </c>
      <c r="AG15" s="0">
        <v>74.773954</v>
      </c>
      <c r="AH15" s="0">
        <v>98.140306</v>
      </c>
      <c r="AI15" s="0">
        <v>65.528076</v>
      </c>
      <c r="AJ15" s="0">
        <v>82.200148</v>
      </c>
      <c r="AK15" s="0">
        <v>62.025502</v>
      </c>
      <c r="AL15" s="0">
        <v>78.567549</v>
      </c>
      <c r="AM15" s="0">
        <v>711.521228</v>
      </c>
      <c r="AN15" s="0">
        <v>737.167396</v>
      </c>
      <c r="AO15" s="0">
        <v>160.042446</v>
      </c>
      <c r="AP15" s="0">
        <v>175.44687</v>
      </c>
      <c r="AQ15" s="0">
        <v>748.266268</v>
      </c>
      <c r="AR15" s="0">
        <v>804.495237</v>
      </c>
      <c r="AS15" s="0">
        <v>10134.920121</v>
      </c>
      <c r="AT15" s="0">
        <v>10642.960958</v>
      </c>
      <c r="AU15" s="0">
        <v>6517.616823</v>
      </c>
      <c r="AV15" s="0">
        <v>7093.504547</v>
      </c>
      <c r="AW15" s="0">
        <v>3386.467288</v>
      </c>
      <c r="AX15" s="0">
        <v>3752.635405</v>
      </c>
      <c r="AY15" s="0">
        <v>32.367411</v>
      </c>
      <c r="AZ15" s="0">
        <v>36.361821</v>
      </c>
      <c r="BA15" s="0">
        <v>0.289953</v>
      </c>
      <c r="BB15" s="0">
        <v>0.394617</v>
      </c>
      <c r="BC15" s="0">
        <v>0.241442</v>
      </c>
      <c r="BD15" s="0">
        <v>0.34143</v>
      </c>
      <c r="BE15" s="0">
        <v>0.148378</v>
      </c>
      <c r="BF15" s="0">
        <v>0.193349</v>
      </c>
      <c r="BG15" s="0">
        <v>0.406195</v>
      </c>
      <c r="BH15" s="0">
        <v>0.515945</v>
      </c>
      <c r="BI15" s="0">
        <v>2.972573</v>
      </c>
      <c r="BJ15" s="0">
        <v>3.40175</v>
      </c>
      <c r="BK15" s="0">
        <v>2.2285</v>
      </c>
      <c r="BL15" s="0">
        <v>2.5895</v>
      </c>
      <c r="BM15" s="0">
        <v>1.0735</v>
      </c>
      <c r="BN15" s="0">
        <v>1.2405</v>
      </c>
      <c r="BO15" s="0">
        <v>4.1605</v>
      </c>
      <c r="BP15" s="0">
        <v>4.7945</v>
      </c>
      <c r="BQ15" s="0">
        <v>4.343411</v>
      </c>
      <c r="BR15" s="0">
        <v>4.672787</v>
      </c>
      <c r="BS15" s="0">
        <v>1006.836123</v>
      </c>
      <c r="BT15" s="0">
        <v>1121.298154</v>
      </c>
      <c r="BU15" s="0">
        <v>374.607269</v>
      </c>
      <c r="BV15" s="0">
        <v>411.386403</v>
      </c>
      <c r="BW15" s="0">
        <v>1381.4433920000001</v>
      </c>
      <c r="BX15" s="0">
        <v>1532.684557</v>
      </c>
    </row>
    <row r="16">
      <c r="A16" s="0">
        <v>1994</v>
      </c>
      <c r="B16" s="0">
        <v>877.794692</v>
      </c>
      <c r="C16" s="0">
        <v>1108.12236</v>
      </c>
      <c r="D16" s="0">
        <v>230</v>
      </c>
      <c r="E16" s="0">
        <v>109</v>
      </c>
      <c r="F16" s="0">
        <v>91</v>
      </c>
      <c r="G16" s="0">
        <v>63</v>
      </c>
      <c r="H16" s="0">
        <v>278.073607</v>
      </c>
      <c r="I16" s="0">
        <v>140.927186</v>
      </c>
      <c r="J16" s="0">
        <v>122.058479</v>
      </c>
      <c r="K16" s="0">
        <v>116.497426</v>
      </c>
      <c r="L16" s="0">
        <v>797.068171</v>
      </c>
      <c r="M16" s="0">
        <v>761.72124</v>
      </c>
      <c r="N16" s="0">
        <v>165.701805</v>
      </c>
      <c r="O16" s="0">
        <v>158.342549</v>
      </c>
      <c r="P16" s="0">
        <v>690.057927</v>
      </c>
      <c r="Q16" s="0">
        <v>3.136262</v>
      </c>
      <c r="R16" s="0">
        <v>2.3645</v>
      </c>
      <c r="S16" s="0">
        <v>1.1345</v>
      </c>
      <c r="T16" s="0">
        <v>4.4035</v>
      </c>
      <c r="U16" s="0">
        <v>4.64223</v>
      </c>
      <c r="V16" s="0">
        <v>10068.521595</v>
      </c>
      <c r="W16" s="0">
        <v>6916.569378</v>
      </c>
      <c r="X16" s="0">
        <v>3151.952218</v>
      </c>
      <c r="Y16" s="0">
        <v>31.305015</v>
      </c>
      <c r="Z16" s="0">
        <v>949.568295</v>
      </c>
      <c r="AA16" s="0">
        <v>364.304278</v>
      </c>
      <c r="AB16" s="0">
        <v>1313.872573</v>
      </c>
      <c r="AC16" s="0">
        <v>1089.644062</v>
      </c>
      <c r="AD16" s="0">
        <v>1126.019867</v>
      </c>
      <c r="AE16" s="0">
        <v>262.851568</v>
      </c>
      <c r="AF16" s="0">
        <v>290.672479</v>
      </c>
      <c r="AG16" s="0">
        <v>129.950523</v>
      </c>
      <c r="AH16" s="0">
        <v>152.145521</v>
      </c>
      <c r="AI16" s="0">
        <v>111.358817</v>
      </c>
      <c r="AJ16" s="0">
        <v>133.439949</v>
      </c>
      <c r="AK16" s="0">
        <v>106.988674</v>
      </c>
      <c r="AL16" s="0">
        <v>125.151772</v>
      </c>
      <c r="AM16" s="0">
        <v>751.263026</v>
      </c>
      <c r="AN16" s="0">
        <v>777.866161</v>
      </c>
      <c r="AO16" s="0">
        <v>151.503297</v>
      </c>
      <c r="AP16" s="0">
        <v>166.79506</v>
      </c>
      <c r="AQ16" s="0">
        <v>659.182467</v>
      </c>
      <c r="AR16" s="0">
        <v>721.013311</v>
      </c>
      <c r="AS16" s="0">
        <v>9847.463495</v>
      </c>
      <c r="AT16" s="0">
        <v>10367.63088</v>
      </c>
      <c r="AU16" s="0">
        <v>6673.03108</v>
      </c>
      <c r="AV16" s="0">
        <v>7257.460148</v>
      </c>
      <c r="AW16" s="0">
        <v>2983.870361</v>
      </c>
      <c r="AX16" s="0">
        <v>3305.315402</v>
      </c>
      <c r="AY16" s="0">
        <v>29.238696</v>
      </c>
      <c r="AZ16" s="0">
        <v>32.879086</v>
      </c>
      <c r="BA16" s="0">
        <v>0.310945</v>
      </c>
      <c r="BB16" s="0">
        <v>0.407205</v>
      </c>
      <c r="BC16" s="0">
        <v>0.258024</v>
      </c>
      <c r="BD16" s="0">
        <v>0.348432</v>
      </c>
      <c r="BE16" s="0">
        <v>0.155244</v>
      </c>
      <c r="BF16" s="0">
        <v>0.195056</v>
      </c>
      <c r="BG16" s="0">
        <v>0.398211</v>
      </c>
      <c r="BH16" s="0">
        <v>0.49519</v>
      </c>
      <c r="BI16" s="0">
        <v>2.932754</v>
      </c>
      <c r="BJ16" s="0">
        <v>3.281098</v>
      </c>
      <c r="BK16" s="0">
        <v>2.1945</v>
      </c>
      <c r="BL16" s="0">
        <v>2.4905</v>
      </c>
      <c r="BM16" s="0">
        <v>1.0575</v>
      </c>
      <c r="BN16" s="0">
        <v>1.1945</v>
      </c>
      <c r="BO16" s="0">
        <v>4.1025</v>
      </c>
      <c r="BP16" s="0">
        <v>4.6195</v>
      </c>
      <c r="BQ16" s="0">
        <v>4.469768</v>
      </c>
      <c r="BR16" s="0">
        <v>4.836629</v>
      </c>
      <c r="BS16" s="0">
        <v>895.967793</v>
      </c>
      <c r="BT16" s="0">
        <v>1006.414469</v>
      </c>
      <c r="BU16" s="0">
        <v>348.288626</v>
      </c>
      <c r="BV16" s="0">
        <v>384.055838</v>
      </c>
      <c r="BW16" s="0">
        <v>1244.256419</v>
      </c>
      <c r="BX16" s="0">
        <v>1390.470307</v>
      </c>
    </row>
    <row r="17">
      <c r="A17" s="0">
        <v>1995</v>
      </c>
      <c r="B17" s="0">
        <v>892.378656</v>
      </c>
      <c r="C17" s="0">
        <v>998.995985</v>
      </c>
      <c r="D17" s="0">
        <v>192</v>
      </c>
      <c r="E17" s="0">
        <v>98</v>
      </c>
      <c r="F17" s="0">
        <v>65</v>
      </c>
      <c r="G17" s="0">
        <v>51</v>
      </c>
      <c r="H17" s="0">
        <v>195.855383</v>
      </c>
      <c r="I17" s="0">
        <v>97.936671</v>
      </c>
      <c r="J17" s="0">
        <v>86.727099</v>
      </c>
      <c r="K17" s="0">
        <v>81.075254</v>
      </c>
      <c r="L17" s="0">
        <v>765.113237</v>
      </c>
      <c r="M17" s="0">
        <v>790.872702</v>
      </c>
      <c r="N17" s="0">
        <v>142.567684</v>
      </c>
      <c r="O17" s="0">
        <v>146.511868</v>
      </c>
      <c r="P17" s="0">
        <v>630.544809</v>
      </c>
      <c r="Q17" s="0">
        <v>3.067348</v>
      </c>
      <c r="R17" s="0">
        <v>2.3055</v>
      </c>
      <c r="S17" s="0">
        <v>1.1075</v>
      </c>
      <c r="T17" s="0">
        <v>4.3025</v>
      </c>
      <c r="U17" s="0">
        <v>4.735978</v>
      </c>
      <c r="V17" s="0">
        <v>9853.374425</v>
      </c>
      <c r="W17" s="0">
        <v>7076.333347</v>
      </c>
      <c r="X17" s="0">
        <v>2777.041078</v>
      </c>
      <c r="Y17" s="0">
        <v>28.183655</v>
      </c>
      <c r="Z17" s="0">
        <v>840.09726</v>
      </c>
      <c r="AA17" s="0">
        <v>334.463446</v>
      </c>
      <c r="AB17" s="0">
        <v>1174.560706</v>
      </c>
      <c r="AC17" s="0">
        <v>977.654639</v>
      </c>
      <c r="AD17" s="0">
        <v>1017.599752</v>
      </c>
      <c r="AE17" s="0">
        <v>184.511703</v>
      </c>
      <c r="AF17" s="0">
        <v>208.4797</v>
      </c>
      <c r="AG17" s="0">
        <v>89.70408</v>
      </c>
      <c r="AH17" s="0">
        <v>105.625353</v>
      </c>
      <c r="AI17" s="0">
        <v>78.096472</v>
      </c>
      <c r="AJ17" s="0">
        <v>95.247483</v>
      </c>
      <c r="AK17" s="0">
        <v>73.918666</v>
      </c>
      <c r="AL17" s="0">
        <v>89.088886</v>
      </c>
      <c r="AM17" s="0">
        <v>779.616728</v>
      </c>
      <c r="AN17" s="0">
        <v>806.808678</v>
      </c>
      <c r="AO17" s="0">
        <v>140.449855</v>
      </c>
      <c r="AP17" s="0">
        <v>154.402803</v>
      </c>
      <c r="AQ17" s="0">
        <v>599.04086</v>
      </c>
      <c r="AR17" s="0">
        <v>661.959122</v>
      </c>
      <c r="AS17" s="0">
        <v>9629.755685</v>
      </c>
      <c r="AT17" s="0">
        <v>10158.387208</v>
      </c>
      <c r="AU17" s="0">
        <v>6839.759619</v>
      </c>
      <c r="AV17" s="0">
        <v>7419.156793</v>
      </c>
      <c r="AW17" s="0">
        <v>2640.887761</v>
      </c>
      <c r="AX17" s="0">
        <v>2895.502771</v>
      </c>
      <c r="AY17" s="0">
        <v>26.333506</v>
      </c>
      <c r="AZ17" s="0">
        <v>29.555208</v>
      </c>
      <c r="BA17" s="0">
        <v>0.331937</v>
      </c>
      <c r="BB17" s="0">
        <v>0.419793</v>
      </c>
      <c r="BC17" s="0">
        <v>0.27043</v>
      </c>
      <c r="BD17" s="0">
        <v>0.355435</v>
      </c>
      <c r="BE17" s="0">
        <v>0.161662</v>
      </c>
      <c r="BF17" s="0">
        <v>0.196245</v>
      </c>
      <c r="BG17" s="0">
        <v>0.390227</v>
      </c>
      <c r="BH17" s="0">
        <v>0.474434</v>
      </c>
      <c r="BI17" s="0">
        <v>2.894489</v>
      </c>
      <c r="BJ17" s="0">
        <v>3.192473</v>
      </c>
      <c r="BK17" s="0">
        <v>2.1625</v>
      </c>
      <c r="BL17" s="0">
        <v>2.4085</v>
      </c>
      <c r="BM17" s="0">
        <v>1.0425</v>
      </c>
      <c r="BN17" s="0">
        <v>1.1545</v>
      </c>
      <c r="BO17" s="0">
        <v>4.0455</v>
      </c>
      <c r="BP17" s="0">
        <v>4.4855</v>
      </c>
      <c r="BQ17" s="0">
        <v>4.547939</v>
      </c>
      <c r="BR17" s="0">
        <v>4.951395</v>
      </c>
      <c r="BS17" s="0">
        <v>797.118876</v>
      </c>
      <c r="BT17" s="0">
        <v>888.118315</v>
      </c>
      <c r="BU17" s="0">
        <v>320.183345</v>
      </c>
      <c r="BV17" s="0">
        <v>352.963411</v>
      </c>
      <c r="BW17" s="0">
        <v>1117.302221</v>
      </c>
      <c r="BX17" s="0">
        <v>1241.0817260000001</v>
      </c>
    </row>
    <row r="18">
      <c r="A18" s="0">
        <v>1996</v>
      </c>
      <c r="B18" s="0">
        <v>884.279974</v>
      </c>
      <c r="C18" s="0">
        <v>900.335621</v>
      </c>
      <c r="D18" s="0">
        <v>231</v>
      </c>
      <c r="E18" s="0">
        <v>97</v>
      </c>
      <c r="F18" s="0">
        <v>97</v>
      </c>
      <c r="G18" s="0">
        <v>78</v>
      </c>
      <c r="H18" s="0">
        <v>223.328976</v>
      </c>
      <c r="I18" s="0">
        <v>110.066078</v>
      </c>
      <c r="J18" s="0">
        <v>98.699505</v>
      </c>
      <c r="K18" s="0">
        <v>89.665711</v>
      </c>
      <c r="L18" s="0">
        <v>652.706102</v>
      </c>
      <c r="M18" s="0">
        <v>809.484204</v>
      </c>
      <c r="N18" s="0">
        <v>145.588637</v>
      </c>
      <c r="O18" s="0">
        <v>134.093491</v>
      </c>
      <c r="P18" s="0">
        <v>596.144999</v>
      </c>
      <c r="Q18" s="0">
        <v>3.002451</v>
      </c>
      <c r="R18" s="0">
        <v>2.2515</v>
      </c>
      <c r="S18" s="0">
        <v>1.0825</v>
      </c>
      <c r="T18" s="0">
        <v>4.2075</v>
      </c>
      <c r="U18" s="0">
        <v>4.76657</v>
      </c>
      <c r="V18" s="0">
        <v>9765.683773</v>
      </c>
      <c r="W18" s="0">
        <v>7298.745734</v>
      </c>
      <c r="X18" s="0">
        <v>2466.938039</v>
      </c>
      <c r="Y18" s="0">
        <v>25.261293</v>
      </c>
      <c r="Z18" s="0">
        <v>743.300612</v>
      </c>
      <c r="AA18" s="0">
        <v>305.186062</v>
      </c>
      <c r="AB18" s="0">
        <v>1048.486674</v>
      </c>
      <c r="AC18" s="0">
        <v>877.485924</v>
      </c>
      <c r="AD18" s="0">
        <v>920.513422</v>
      </c>
      <c r="AE18" s="0">
        <v>209.757193</v>
      </c>
      <c r="AF18" s="0">
        <v>236.887387</v>
      </c>
      <c r="AG18" s="0">
        <v>102.732836</v>
      </c>
      <c r="AH18" s="0">
        <v>120.633979</v>
      </c>
      <c r="AI18" s="0">
        <v>90.264624</v>
      </c>
      <c r="AJ18" s="0">
        <v>106.088979</v>
      </c>
      <c r="AK18" s="0">
        <v>82.093391</v>
      </c>
      <c r="AL18" s="0">
        <v>98.267471</v>
      </c>
      <c r="AM18" s="0">
        <v>798.054132</v>
      </c>
      <c r="AN18" s="0">
        <v>825.181183</v>
      </c>
      <c r="AO18" s="0">
        <v>128.285709</v>
      </c>
      <c r="AP18" s="0">
        <v>141.790259</v>
      </c>
      <c r="AQ18" s="0">
        <v>565.113936</v>
      </c>
      <c r="AR18" s="0">
        <v>627.049094</v>
      </c>
      <c r="AS18" s="0">
        <v>9553.536828</v>
      </c>
      <c r="AT18" s="0">
        <v>10079.961514</v>
      </c>
      <c r="AU18" s="0">
        <v>7068.352279</v>
      </c>
      <c r="AV18" s="0">
        <v>7638.589028</v>
      </c>
      <c r="AW18" s="0">
        <v>2340.76442</v>
      </c>
      <c r="AX18" s="0">
        <v>2583.135071</v>
      </c>
      <c r="AY18" s="0">
        <v>23.729615</v>
      </c>
      <c r="AZ18" s="0">
        <v>26.524653</v>
      </c>
      <c r="BA18" s="0">
        <v>0.349893</v>
      </c>
      <c r="BB18" s="0">
        <v>0.428948</v>
      </c>
      <c r="BC18" s="0">
        <v>0.282577</v>
      </c>
      <c r="BD18" s="0">
        <v>0.362437</v>
      </c>
      <c r="BE18" s="0">
        <v>0.16808</v>
      </c>
      <c r="BF18" s="0">
        <v>0.19847</v>
      </c>
      <c r="BG18" s="0">
        <v>0.382243</v>
      </c>
      <c r="BH18" s="0">
        <v>0.453678</v>
      </c>
      <c r="BI18" s="0">
        <v>2.857701</v>
      </c>
      <c r="BJ18" s="0">
        <v>3.109303</v>
      </c>
      <c r="BK18" s="0">
        <v>2.1305</v>
      </c>
      <c r="BL18" s="0">
        <v>2.3435</v>
      </c>
      <c r="BM18" s="0">
        <v>1.0285</v>
      </c>
      <c r="BN18" s="0">
        <v>1.1245</v>
      </c>
      <c r="BO18" s="0">
        <v>3.9915</v>
      </c>
      <c r="BP18" s="0">
        <v>4.3655</v>
      </c>
      <c r="BQ18" s="0">
        <v>4.563271</v>
      </c>
      <c r="BR18" s="0">
        <v>4.997781</v>
      </c>
      <c r="BS18" s="0">
        <v>703.944669</v>
      </c>
      <c r="BT18" s="0">
        <v>779.309121</v>
      </c>
      <c r="BU18" s="0">
        <v>291.757169</v>
      </c>
      <c r="BV18" s="0">
        <v>323.435955</v>
      </c>
      <c r="BW18" s="0">
        <v>995.701838</v>
      </c>
      <c r="BX18" s="0">
        <v>1102.745076</v>
      </c>
    </row>
    <row r="19">
      <c r="A19" s="0">
        <v>1997</v>
      </c>
      <c r="B19" s="0">
        <v>722.820269</v>
      </c>
      <c r="C19" s="0">
        <v>818.367459</v>
      </c>
      <c r="D19" s="0">
        <v>196</v>
      </c>
      <c r="E19" s="0">
        <v>102</v>
      </c>
      <c r="F19" s="0">
        <v>98</v>
      </c>
      <c r="G19" s="0">
        <v>76</v>
      </c>
      <c r="H19" s="0">
        <v>237.22066</v>
      </c>
      <c r="I19" s="0">
        <v>114.890152</v>
      </c>
      <c r="J19" s="0">
        <v>103.147265</v>
      </c>
      <c r="K19" s="0">
        <v>90.410094</v>
      </c>
      <c r="L19" s="0">
        <v>342.898884</v>
      </c>
      <c r="M19" s="0">
        <v>818.843351</v>
      </c>
      <c r="N19" s="0">
        <v>120.763874</v>
      </c>
      <c r="O19" s="0">
        <v>122.34413</v>
      </c>
      <c r="P19" s="0">
        <v>583.897768</v>
      </c>
      <c r="Q19" s="0">
        <v>2.941255</v>
      </c>
      <c r="R19" s="0">
        <v>2.1995</v>
      </c>
      <c r="S19" s="0">
        <v>1.0585</v>
      </c>
      <c r="T19" s="0">
        <v>4.1175</v>
      </c>
      <c r="U19" s="0">
        <v>4.720941</v>
      </c>
      <c r="V19" s="0">
        <v>9989.065568</v>
      </c>
      <c r="W19" s="0">
        <v>7761.991586</v>
      </c>
      <c r="X19" s="0">
        <v>2227.073982</v>
      </c>
      <c r="Y19" s="0">
        <v>22.295118</v>
      </c>
      <c r="Z19" s="0">
        <v>662.406853</v>
      </c>
      <c r="AA19" s="0">
        <v>278.767594</v>
      </c>
      <c r="AB19" s="0">
        <v>941.17444699999987</v>
      </c>
      <c r="AC19" s="0">
        <v>795.982008</v>
      </c>
      <c r="AD19" s="0">
        <v>838.963123</v>
      </c>
      <c r="AE19" s="0">
        <v>223.024233</v>
      </c>
      <c r="AF19" s="0">
        <v>247.970727</v>
      </c>
      <c r="AG19" s="0">
        <v>107.435572</v>
      </c>
      <c r="AH19" s="0">
        <v>123.407789</v>
      </c>
      <c r="AI19" s="0">
        <v>94.94387</v>
      </c>
      <c r="AJ19" s="0">
        <v>110.137516</v>
      </c>
      <c r="AK19" s="0">
        <v>83.086234</v>
      </c>
      <c r="AL19" s="0">
        <v>98.44552</v>
      </c>
      <c r="AM19" s="0">
        <v>808.016302</v>
      </c>
      <c r="AN19" s="0">
        <v>834.649361</v>
      </c>
      <c r="AO19" s="0">
        <v>116.934956</v>
      </c>
      <c r="AP19" s="0">
        <v>129.757396</v>
      </c>
      <c r="AQ19" s="0">
        <v>554.644105</v>
      </c>
      <c r="AR19" s="0">
        <v>614.834994</v>
      </c>
      <c r="AS19" s="0">
        <v>9774.884149</v>
      </c>
      <c r="AT19" s="0">
        <v>10310.793757</v>
      </c>
      <c r="AU19" s="0">
        <v>7534.854441</v>
      </c>
      <c r="AV19" s="0">
        <v>8107.365446</v>
      </c>
      <c r="AW19" s="0">
        <v>2104.769729</v>
      </c>
      <c r="AX19" s="0">
        <v>2329.935389</v>
      </c>
      <c r="AY19" s="0">
        <v>21.112232</v>
      </c>
      <c r="AZ19" s="0">
        <v>23.375387</v>
      </c>
      <c r="BA19" s="0">
        <v>0.36499</v>
      </c>
      <c r="BB19" s="0">
        <v>0.436666</v>
      </c>
      <c r="BC19" s="0">
        <v>0.299176</v>
      </c>
      <c r="BD19" s="0">
        <v>0.368939</v>
      </c>
      <c r="BE19" s="0">
        <v>0.173977</v>
      </c>
      <c r="BF19" s="0">
        <v>0.200177</v>
      </c>
      <c r="BG19" s="0">
        <v>0.373551</v>
      </c>
      <c r="BH19" s="0">
        <v>0.436428</v>
      </c>
      <c r="BI19" s="0">
        <v>2.822322</v>
      </c>
      <c r="BJ19" s="0">
        <v>3.045225</v>
      </c>
      <c r="BK19" s="0">
        <v>2.0945</v>
      </c>
      <c r="BL19" s="0">
        <v>2.2825</v>
      </c>
      <c r="BM19" s="0">
        <v>1.0095</v>
      </c>
      <c r="BN19" s="0">
        <v>1.0955</v>
      </c>
      <c r="BO19" s="0">
        <v>3.9395</v>
      </c>
      <c r="BP19" s="0">
        <v>4.2715</v>
      </c>
      <c r="BQ19" s="0">
        <v>4.507817</v>
      </c>
      <c r="BR19" s="0">
        <v>4.955413</v>
      </c>
      <c r="BS19" s="0">
        <v>624.987251</v>
      </c>
      <c r="BT19" s="0">
        <v>694.451768</v>
      </c>
      <c r="BU19" s="0">
        <v>266.300269</v>
      </c>
      <c r="BV19" s="0">
        <v>295.81086</v>
      </c>
      <c r="BW19" s="0">
        <v>891.28752000000009</v>
      </c>
      <c r="BX19" s="0">
        <v>990.262628</v>
      </c>
    </row>
    <row r="20">
      <c r="A20" s="0">
        <v>1998</v>
      </c>
      <c r="B20" s="0">
        <v>672.771933</v>
      </c>
      <c r="C20" s="0">
        <v>756.325857</v>
      </c>
      <c r="D20" s="0">
        <v>176</v>
      </c>
      <c r="E20" s="0">
        <v>106</v>
      </c>
      <c r="F20" s="0">
        <v>93</v>
      </c>
      <c r="G20" s="0">
        <v>56</v>
      </c>
      <c r="H20" s="0">
        <v>220.796973</v>
      </c>
      <c r="I20" s="0">
        <v>104.735811</v>
      </c>
      <c r="J20" s="0">
        <v>92.998878</v>
      </c>
      <c r="K20" s="0">
        <v>78.053631</v>
      </c>
      <c r="L20" s="0">
        <v>287.072841</v>
      </c>
      <c r="M20" s="0">
        <v>820.591996</v>
      </c>
      <c r="N20" s="0">
        <v>113.596308</v>
      </c>
      <c r="O20" s="0">
        <v>112.060448</v>
      </c>
      <c r="P20" s="0">
        <v>590.83589</v>
      </c>
      <c r="Q20" s="0">
        <v>2.88348</v>
      </c>
      <c r="R20" s="0">
        <v>2.1505</v>
      </c>
      <c r="S20" s="0">
        <v>1.0365</v>
      </c>
      <c r="T20" s="0">
        <v>4.0325</v>
      </c>
      <c r="U20" s="0">
        <v>4.594201</v>
      </c>
      <c r="V20" s="0">
        <v>10315.790964</v>
      </c>
      <c r="W20" s="0">
        <v>8259.14789</v>
      </c>
      <c r="X20" s="0">
        <v>2056.643074</v>
      </c>
      <c r="Y20" s="0">
        <v>19.936843</v>
      </c>
      <c r="Z20" s="0">
        <v>598.844991</v>
      </c>
      <c r="AA20" s="0">
        <v>256.651817</v>
      </c>
      <c r="AB20" s="0">
        <v>855.4968080000001</v>
      </c>
      <c r="AC20" s="0">
        <v>734.229795</v>
      </c>
      <c r="AD20" s="0">
        <v>775.728803</v>
      </c>
      <c r="AE20" s="0">
        <v>208.436065</v>
      </c>
      <c r="AF20" s="0">
        <v>233.810153</v>
      </c>
      <c r="AG20" s="0">
        <v>98.898866</v>
      </c>
      <c r="AH20" s="0">
        <v>112.26675</v>
      </c>
      <c r="AI20" s="0">
        <v>84.680481</v>
      </c>
      <c r="AJ20" s="0">
        <v>101.213786</v>
      </c>
      <c r="AK20" s="0">
        <v>71.056036</v>
      </c>
      <c r="AL20" s="0">
        <v>85.531895</v>
      </c>
      <c r="AM20" s="0">
        <v>809.251038</v>
      </c>
      <c r="AN20" s="0">
        <v>836.29735</v>
      </c>
      <c r="AO20" s="0">
        <v>107.046882</v>
      </c>
      <c r="AP20" s="0">
        <v>118.73089</v>
      </c>
      <c r="AQ20" s="0">
        <v>564.447215</v>
      </c>
      <c r="AR20" s="0">
        <v>618.761965</v>
      </c>
      <c r="AS20" s="0">
        <v>10068.553894</v>
      </c>
      <c r="AT20" s="0">
        <v>10645.067313</v>
      </c>
      <c r="AU20" s="0">
        <v>8032.14358</v>
      </c>
      <c r="AV20" s="0">
        <v>8593.115555</v>
      </c>
      <c r="AW20" s="0">
        <v>1944.701983</v>
      </c>
      <c r="AX20" s="0">
        <v>2154.800723</v>
      </c>
      <c r="AY20" s="0">
        <v>18.965212</v>
      </c>
      <c r="AZ20" s="0">
        <v>20.838464</v>
      </c>
      <c r="BA20" s="0">
        <v>0.379823</v>
      </c>
      <c r="BB20" s="0">
        <v>0.457557</v>
      </c>
      <c r="BC20" s="0">
        <v>0.309581</v>
      </c>
      <c r="BD20" s="0">
        <v>0.375854</v>
      </c>
      <c r="BE20" s="0">
        <v>0.175239</v>
      </c>
      <c r="BF20" s="0">
        <v>0.203653</v>
      </c>
      <c r="BG20" s="0">
        <v>0.357723</v>
      </c>
      <c r="BH20" s="0">
        <v>0.420905</v>
      </c>
      <c r="BI20" s="0">
        <v>2.766304</v>
      </c>
      <c r="BJ20" s="0">
        <v>2.984515</v>
      </c>
      <c r="BK20" s="0">
        <v>2.0465</v>
      </c>
      <c r="BL20" s="0">
        <v>2.2395</v>
      </c>
      <c r="BM20" s="0">
        <v>0.9875</v>
      </c>
      <c r="BN20" s="0">
        <v>1.0785</v>
      </c>
      <c r="BO20" s="0">
        <v>3.8585</v>
      </c>
      <c r="BP20" s="0">
        <v>4.1835</v>
      </c>
      <c r="BQ20" s="0">
        <v>4.381456</v>
      </c>
      <c r="BR20" s="0">
        <v>4.814017</v>
      </c>
      <c r="BS20" s="0">
        <v>563.509132</v>
      </c>
      <c r="BT20" s="0">
        <v>634.28921</v>
      </c>
      <c r="BU20" s="0">
        <v>244.714342</v>
      </c>
      <c r="BV20" s="0">
        <v>271.489697</v>
      </c>
      <c r="BW20" s="0">
        <v>808.223474</v>
      </c>
      <c r="BX20" s="0">
        <v>905.778907</v>
      </c>
    </row>
    <row r="21">
      <c r="A21" s="0">
        <v>1999</v>
      </c>
      <c r="B21" s="0">
        <v>718.702003</v>
      </c>
      <c r="C21" s="0">
        <v>715.290435</v>
      </c>
      <c r="D21" s="0">
        <v>188</v>
      </c>
      <c r="E21" s="0">
        <v>89</v>
      </c>
      <c r="F21" s="0">
        <v>97</v>
      </c>
      <c r="G21" s="0">
        <v>57</v>
      </c>
      <c r="H21" s="0">
        <v>189.291867</v>
      </c>
      <c r="I21" s="0">
        <v>87.733821</v>
      </c>
      <c r="J21" s="0">
        <v>76.18794</v>
      </c>
      <c r="K21" s="0">
        <v>60.744337</v>
      </c>
      <c r="L21" s="0">
        <v>214.910891</v>
      </c>
      <c r="M21" s="0">
        <v>816.566978</v>
      </c>
      <c r="N21" s="0">
        <v>81.966014</v>
      </c>
      <c r="O21" s="0">
        <v>103.731424</v>
      </c>
      <c r="P21" s="0">
        <v>613.992135</v>
      </c>
      <c r="Q21" s="0">
        <v>2.828876</v>
      </c>
      <c r="R21" s="0">
        <v>2.1035</v>
      </c>
      <c r="S21" s="0">
        <v>1.0145</v>
      </c>
      <c r="T21" s="0">
        <v>3.9515</v>
      </c>
      <c r="U21" s="0">
        <v>4.394422</v>
      </c>
      <c r="V21" s="0">
        <v>10689.182673</v>
      </c>
      <c r="W21" s="0">
        <v>8738.411599</v>
      </c>
      <c r="X21" s="0">
        <v>1950.771074</v>
      </c>
      <c r="Y21" s="0">
        <v>18.249955</v>
      </c>
      <c r="Z21" s="0">
        <v>552.64571</v>
      </c>
      <c r="AA21" s="0">
        <v>239.674043</v>
      </c>
      <c r="AB21" s="0">
        <v>792.319753</v>
      </c>
      <c r="AC21" s="0">
        <v>694.655223</v>
      </c>
      <c r="AD21" s="0">
        <v>735.190942</v>
      </c>
      <c r="AE21" s="0">
        <v>175.315237</v>
      </c>
      <c r="AF21" s="0">
        <v>199.872048</v>
      </c>
      <c r="AG21" s="0">
        <v>81.437876</v>
      </c>
      <c r="AH21" s="0">
        <v>94.635529</v>
      </c>
      <c r="AI21" s="0">
        <v>69.17366</v>
      </c>
      <c r="AJ21" s="0">
        <v>81.570341</v>
      </c>
      <c r="AK21" s="0">
        <v>54.918105</v>
      </c>
      <c r="AL21" s="0">
        <v>67.3184</v>
      </c>
      <c r="AM21" s="0">
        <v>803.831857</v>
      </c>
      <c r="AN21" s="0">
        <v>833.779192</v>
      </c>
      <c r="AO21" s="0">
        <v>98.849545</v>
      </c>
      <c r="AP21" s="0">
        <v>109.448291</v>
      </c>
      <c r="AQ21" s="0">
        <v>590.760952</v>
      </c>
      <c r="AR21" s="0">
        <v>641.75636</v>
      </c>
      <c r="AS21" s="0">
        <v>10411.348571</v>
      </c>
      <c r="AT21" s="0">
        <v>11035.822673</v>
      </c>
      <c r="AU21" s="0">
        <v>8509.483709</v>
      </c>
      <c r="AV21" s="0">
        <v>9066.249743</v>
      </c>
      <c r="AW21" s="0">
        <v>1844.874662</v>
      </c>
      <c r="AX21" s="0">
        <v>2050.077952</v>
      </c>
      <c r="AY21" s="0">
        <v>17.372198</v>
      </c>
      <c r="AZ21" s="0">
        <v>18.987059</v>
      </c>
      <c r="BA21" s="0">
        <v>0.394655</v>
      </c>
      <c r="BB21" s="0">
        <v>0.472943</v>
      </c>
      <c r="BC21" s="0">
        <v>0.313242</v>
      </c>
      <c r="BD21" s="0">
        <v>0.383445</v>
      </c>
      <c r="BE21" s="0">
        <v>0.178058</v>
      </c>
      <c r="BF21" s="0">
        <v>0.208263</v>
      </c>
      <c r="BG21" s="0">
        <v>0.341416</v>
      </c>
      <c r="BH21" s="0">
        <v>0.411546</v>
      </c>
      <c r="BI21" s="0">
        <v>2.699557</v>
      </c>
      <c r="BJ21" s="0">
        <v>2.948097</v>
      </c>
      <c r="BK21" s="0">
        <v>1.9915</v>
      </c>
      <c r="BL21" s="0">
        <v>2.2055</v>
      </c>
      <c r="BM21" s="0">
        <v>0.9635</v>
      </c>
      <c r="BN21" s="0">
        <v>1.0615</v>
      </c>
      <c r="BO21" s="0">
        <v>3.7595</v>
      </c>
      <c r="BP21" s="0">
        <v>4.1315</v>
      </c>
      <c r="BQ21" s="0">
        <v>4.191709</v>
      </c>
      <c r="BR21" s="0">
        <v>4.580297</v>
      </c>
      <c r="BS21" s="0">
        <v>520.396524</v>
      </c>
      <c r="BT21" s="0">
        <v>583.368438</v>
      </c>
      <c r="BU21" s="0">
        <v>227.880777</v>
      </c>
      <c r="BV21" s="0">
        <v>251.797024</v>
      </c>
      <c r="BW21" s="0">
        <v>748.277301</v>
      </c>
      <c r="BX21" s="0">
        <v>835.16546199999993</v>
      </c>
    </row>
    <row r="22">
      <c r="A22" s="0">
        <v>2000</v>
      </c>
      <c r="B22" s="0">
        <v>669.885782</v>
      </c>
      <c r="C22" s="0">
        <v>694.79497</v>
      </c>
      <c r="D22" s="0">
        <v>238</v>
      </c>
      <c r="E22" s="0">
        <v>98</v>
      </c>
      <c r="F22" s="0">
        <v>75</v>
      </c>
      <c r="G22" s="0">
        <v>83</v>
      </c>
      <c r="H22" s="0">
        <v>241.762599</v>
      </c>
      <c r="I22" s="0">
        <v>109.426698</v>
      </c>
      <c r="J22" s="0">
        <v>92.189904</v>
      </c>
      <c r="K22" s="0">
        <v>69.293052</v>
      </c>
      <c r="L22" s="0">
        <v>230.904617</v>
      </c>
      <c r="M22" s="0">
        <v>808.661002</v>
      </c>
      <c r="N22" s="0">
        <v>94.46098</v>
      </c>
      <c r="O22" s="0">
        <v>97.620213</v>
      </c>
      <c r="P22" s="0">
        <v>650.399277</v>
      </c>
      <c r="Q22" s="0">
        <v>2.77722</v>
      </c>
      <c r="R22" s="0">
        <v>2.0595</v>
      </c>
      <c r="S22" s="0">
        <v>0.9945</v>
      </c>
      <c r="T22" s="0">
        <v>3.8755</v>
      </c>
      <c r="U22" s="0">
        <v>4.14365</v>
      </c>
      <c r="V22" s="0">
        <v>11089.728022</v>
      </c>
      <c r="W22" s="0">
        <v>9187.656888</v>
      </c>
      <c r="X22" s="0">
        <v>1902.071135</v>
      </c>
      <c r="Y22" s="0">
        <v>17.151648</v>
      </c>
      <c r="Z22" s="0">
        <v>522.808117</v>
      </c>
      <c r="AA22" s="0">
        <v>228.207445</v>
      </c>
      <c r="AB22" s="0">
        <v>751.015562</v>
      </c>
      <c r="AC22" s="0">
        <v>675.979142</v>
      </c>
      <c r="AD22" s="0">
        <v>714.914289</v>
      </c>
      <c r="AE22" s="0">
        <v>230.033389</v>
      </c>
      <c r="AF22" s="0">
        <v>252.903218</v>
      </c>
      <c r="AG22" s="0">
        <v>100.634031</v>
      </c>
      <c r="AH22" s="0">
        <v>118.551684</v>
      </c>
      <c r="AI22" s="0">
        <v>85.159107</v>
      </c>
      <c r="AJ22" s="0">
        <v>100.364684</v>
      </c>
      <c r="AK22" s="0">
        <v>63.061193</v>
      </c>
      <c r="AL22" s="0">
        <v>76.872917</v>
      </c>
      <c r="AM22" s="0">
        <v>794.661319</v>
      </c>
      <c r="AN22" s="0">
        <v>825.03461</v>
      </c>
      <c r="AO22" s="0">
        <v>92.417914</v>
      </c>
      <c r="AP22" s="0">
        <v>102.401788</v>
      </c>
      <c r="AQ22" s="0">
        <v>630.199652</v>
      </c>
      <c r="AR22" s="0">
        <v>676.959496</v>
      </c>
      <c r="AS22" s="0">
        <v>10796.346865</v>
      </c>
      <c r="AT22" s="0">
        <v>11448.785911</v>
      </c>
      <c r="AU22" s="0">
        <v>8956.463982</v>
      </c>
      <c r="AV22" s="0">
        <v>9515.775448</v>
      </c>
      <c r="AW22" s="0">
        <v>1792.479806</v>
      </c>
      <c r="AX22" s="0">
        <v>1996.633906</v>
      </c>
      <c r="AY22" s="0">
        <v>16.309332</v>
      </c>
      <c r="AZ22" s="0">
        <v>17.864783</v>
      </c>
      <c r="BA22" s="0">
        <v>0.404331</v>
      </c>
      <c r="BB22" s="0">
        <v>0.490669</v>
      </c>
      <c r="BC22" s="0">
        <v>0.319654</v>
      </c>
      <c r="BD22" s="0">
        <v>0.390798</v>
      </c>
      <c r="BE22" s="0">
        <v>0.179853</v>
      </c>
      <c r="BF22" s="0">
        <v>0.216809</v>
      </c>
      <c r="BG22" s="0">
        <v>0.319034</v>
      </c>
      <c r="BH22" s="0">
        <v>0.399634</v>
      </c>
      <c r="BI22" s="0">
        <v>2.636793</v>
      </c>
      <c r="BJ22" s="0">
        <v>2.910988</v>
      </c>
      <c r="BK22" s="0">
        <v>1.9405</v>
      </c>
      <c r="BL22" s="0">
        <v>2.1695</v>
      </c>
      <c r="BM22" s="0">
        <v>0.9405</v>
      </c>
      <c r="BN22" s="0">
        <v>1.0445</v>
      </c>
      <c r="BO22" s="0">
        <v>3.6665</v>
      </c>
      <c r="BP22" s="0">
        <v>4.0785</v>
      </c>
      <c r="BQ22" s="0">
        <v>3.946009</v>
      </c>
      <c r="BR22" s="0">
        <v>4.320306</v>
      </c>
      <c r="BS22" s="0">
        <v>493.746543</v>
      </c>
      <c r="BT22" s="0">
        <v>551.521846</v>
      </c>
      <c r="BU22" s="0">
        <v>215.246367</v>
      </c>
      <c r="BV22" s="0">
        <v>240.168821</v>
      </c>
      <c r="BW22" s="0">
        <v>708.99290999999994</v>
      </c>
      <c r="BX22" s="0">
        <v>791.690667</v>
      </c>
    </row>
    <row r="23">
      <c r="A23" s="0">
        <v>2001</v>
      </c>
      <c r="B23" s="0">
        <v>728.409172</v>
      </c>
      <c r="C23" s="0">
        <v>693.282187</v>
      </c>
      <c r="D23" s="0">
        <v>236</v>
      </c>
      <c r="E23" s="0">
        <v>106</v>
      </c>
      <c r="F23" s="0">
        <v>84</v>
      </c>
      <c r="G23" s="0">
        <v>80</v>
      </c>
      <c r="H23" s="0">
        <v>225.991975</v>
      </c>
      <c r="I23" s="0">
        <v>100.036789</v>
      </c>
      <c r="J23" s="0">
        <v>81.486463</v>
      </c>
      <c r="K23" s="0">
        <v>57.375623</v>
      </c>
      <c r="L23" s="0">
        <v>193.11749</v>
      </c>
      <c r="M23" s="0">
        <v>798.706264</v>
      </c>
      <c r="N23" s="0">
        <v>75.934547</v>
      </c>
      <c r="O23" s="0">
        <v>93.816805</v>
      </c>
      <c r="P23" s="0">
        <v>697.090087</v>
      </c>
      <c r="Q23" s="0">
        <v>2.728312</v>
      </c>
      <c r="R23" s="0">
        <v>2.0175</v>
      </c>
      <c r="S23" s="0">
        <v>0.9755</v>
      </c>
      <c r="T23" s="0">
        <v>3.8025</v>
      </c>
      <c r="U23" s="0">
        <v>3.872718</v>
      </c>
      <c r="V23" s="0">
        <v>11554.298608</v>
      </c>
      <c r="W23" s="0">
        <v>9652.55612</v>
      </c>
      <c r="X23" s="0">
        <v>1901.742488</v>
      </c>
      <c r="Y23" s="0">
        <v>16.459177</v>
      </c>
      <c r="Z23" s="0">
        <v>507.617887</v>
      </c>
      <c r="AA23" s="0">
        <v>222.268368</v>
      </c>
      <c r="AB23" s="0">
        <v>729.886255</v>
      </c>
      <c r="AC23" s="0">
        <v>675.085078</v>
      </c>
      <c r="AD23" s="0">
        <v>713.282576</v>
      </c>
      <c r="AE23" s="0">
        <v>212.398123</v>
      </c>
      <c r="AF23" s="0">
        <v>243.747444</v>
      </c>
      <c r="AG23" s="0">
        <v>92.304983</v>
      </c>
      <c r="AH23" s="0">
        <v>110.963603</v>
      </c>
      <c r="AI23" s="0">
        <v>73.885685</v>
      </c>
      <c r="AJ23" s="0">
        <v>88.897407</v>
      </c>
      <c r="AK23" s="0">
        <v>50.89025</v>
      </c>
      <c r="AL23" s="0">
        <v>65.814427</v>
      </c>
      <c r="AM23" s="0">
        <v>783.809965</v>
      </c>
      <c r="AN23" s="0">
        <v>815.138827</v>
      </c>
      <c r="AO23" s="0">
        <v>88.355373</v>
      </c>
      <c r="AP23" s="0">
        <v>98.955581</v>
      </c>
      <c r="AQ23" s="0">
        <v>680.570005</v>
      </c>
      <c r="AR23" s="0">
        <v>724.173375</v>
      </c>
      <c r="AS23" s="0">
        <v>11244.725836</v>
      </c>
      <c r="AT23" s="0">
        <v>11917.552637</v>
      </c>
      <c r="AU23" s="0">
        <v>9411.341658</v>
      </c>
      <c r="AV23" s="0">
        <v>9980.081784</v>
      </c>
      <c r="AW23" s="0">
        <v>1789.064256</v>
      </c>
      <c r="AX23" s="0">
        <v>1995.765048</v>
      </c>
      <c r="AY23" s="0">
        <v>15.645873</v>
      </c>
      <c r="AZ23" s="0">
        <v>17.145322</v>
      </c>
      <c r="BA23" s="0">
        <v>0.412944</v>
      </c>
      <c r="BB23" s="0">
        <v>0.511461</v>
      </c>
      <c r="BC23" s="0">
        <v>0.3206</v>
      </c>
      <c r="BD23" s="0">
        <v>0.404323</v>
      </c>
      <c r="BE23" s="0">
        <v>0.182924</v>
      </c>
      <c r="BF23" s="0">
        <v>0.223761</v>
      </c>
      <c r="BG23" s="0">
        <v>0.297811</v>
      </c>
      <c r="BH23" s="0">
        <v>0.393595</v>
      </c>
      <c r="BI23" s="0">
        <v>2.593403</v>
      </c>
      <c r="BJ23" s="0">
        <v>2.869243</v>
      </c>
      <c r="BK23" s="0">
        <v>1.9035</v>
      </c>
      <c r="BL23" s="0">
        <v>2.1345</v>
      </c>
      <c r="BM23" s="0">
        <v>0.9245</v>
      </c>
      <c r="BN23" s="0">
        <v>1.0295</v>
      </c>
      <c r="BO23" s="0">
        <v>3.5975</v>
      </c>
      <c r="BP23" s="0">
        <v>4.0175</v>
      </c>
      <c r="BQ23" s="0">
        <v>3.688456</v>
      </c>
      <c r="BR23" s="0">
        <v>4.037651</v>
      </c>
      <c r="BS23" s="0">
        <v>481.574502</v>
      </c>
      <c r="BT23" s="0">
        <v>535.636493</v>
      </c>
      <c r="BU23" s="0">
        <v>209.185025</v>
      </c>
      <c r="BV23" s="0">
        <v>235.187632</v>
      </c>
      <c r="BW23" s="0">
        <v>690.75952699999993</v>
      </c>
      <c r="BX23" s="0">
        <v>770.824125</v>
      </c>
    </row>
    <row r="24">
      <c r="A24" s="0">
        <v>2002</v>
      </c>
      <c r="B24" s="0">
        <v>829.178741</v>
      </c>
      <c r="C24" s="0">
        <v>708.0806</v>
      </c>
      <c r="D24" s="0">
        <v>274</v>
      </c>
      <c r="E24" s="0">
        <v>114</v>
      </c>
      <c r="F24" s="0">
        <v>97</v>
      </c>
      <c r="G24" s="0">
        <v>68</v>
      </c>
      <c r="H24" s="0">
        <v>224.478124</v>
      </c>
      <c r="I24" s="0">
        <v>99.823899</v>
      </c>
      <c r="J24" s="0">
        <v>80.803329</v>
      </c>
      <c r="K24" s="0">
        <v>56.088584</v>
      </c>
      <c r="L24" s="0">
        <v>241.80301</v>
      </c>
      <c r="M24" s="0">
        <v>788.564172</v>
      </c>
      <c r="N24" s="0">
        <v>90.064279</v>
      </c>
      <c r="O24" s="0">
        <v>91.669916</v>
      </c>
      <c r="P24" s="0">
        <v>751.097338</v>
      </c>
      <c r="Q24" s="0">
        <v>2.681975</v>
      </c>
      <c r="R24" s="0">
        <v>1.9775</v>
      </c>
      <c r="S24" s="0">
        <v>0.9575</v>
      </c>
      <c r="T24" s="0">
        <v>3.7335</v>
      </c>
      <c r="U24" s="0">
        <v>3.644178</v>
      </c>
      <c r="V24" s="0">
        <v>12093.809968</v>
      </c>
      <c r="W24" s="0">
        <v>10153.092629</v>
      </c>
      <c r="X24" s="0">
        <v>1940.71734</v>
      </c>
      <c r="Y24" s="0">
        <v>16.047196</v>
      </c>
      <c r="Z24" s="0">
        <v>502.610234</v>
      </c>
      <c r="AA24" s="0">
        <v>216.432881</v>
      </c>
      <c r="AB24" s="0">
        <v>719.043115</v>
      </c>
      <c r="AC24" s="0">
        <v>690.003578</v>
      </c>
      <c r="AD24" s="0">
        <v>727.351033</v>
      </c>
      <c r="AE24" s="0">
        <v>211.43369</v>
      </c>
      <c r="AF24" s="0">
        <v>239.368002</v>
      </c>
      <c r="AG24" s="0">
        <v>92.803361</v>
      </c>
      <c r="AH24" s="0">
        <v>107.620559</v>
      </c>
      <c r="AI24" s="0">
        <v>73.003434</v>
      </c>
      <c r="AJ24" s="0">
        <v>88.738313</v>
      </c>
      <c r="AK24" s="0">
        <v>50.846583</v>
      </c>
      <c r="AL24" s="0">
        <v>62.717644</v>
      </c>
      <c r="AM24" s="0">
        <v>773.195362</v>
      </c>
      <c r="AN24" s="0">
        <v>805.993106</v>
      </c>
      <c r="AO24" s="0">
        <v>86.07615</v>
      </c>
      <c r="AP24" s="0">
        <v>97.134091</v>
      </c>
      <c r="AQ24" s="0">
        <v>736.333316</v>
      </c>
      <c r="AR24" s="0">
        <v>779.496476</v>
      </c>
      <c r="AS24" s="0">
        <v>11767.210996</v>
      </c>
      <c r="AT24" s="0">
        <v>12453.404804</v>
      </c>
      <c r="AU24" s="0">
        <v>9900.205255</v>
      </c>
      <c r="AV24" s="0">
        <v>10480.652053</v>
      </c>
      <c r="AW24" s="0">
        <v>1828.431415</v>
      </c>
      <c r="AX24" s="0">
        <v>2043.862243</v>
      </c>
      <c r="AY24" s="0">
        <v>15.33022</v>
      </c>
      <c r="AZ24" s="0">
        <v>16.702673</v>
      </c>
      <c r="BA24" s="0">
        <v>0.422341</v>
      </c>
      <c r="BB24" s="0">
        <v>0.53072</v>
      </c>
      <c r="BC24" s="0">
        <v>0.321547</v>
      </c>
      <c r="BD24" s="0">
        <v>0.417848</v>
      </c>
      <c r="BE24" s="0">
        <v>0.184455</v>
      </c>
      <c r="BF24" s="0">
        <v>0.232428</v>
      </c>
      <c r="BG24" s="0">
        <v>0.279401</v>
      </c>
      <c r="BH24" s="0">
        <v>0.386067</v>
      </c>
      <c r="BI24" s="0">
        <v>2.53057</v>
      </c>
      <c r="BJ24" s="0">
        <v>2.830177</v>
      </c>
      <c r="BK24" s="0">
        <v>1.8535</v>
      </c>
      <c r="BL24" s="0">
        <v>2.1015</v>
      </c>
      <c r="BM24" s="0">
        <v>0.9025</v>
      </c>
      <c r="BN24" s="0">
        <v>1.0145</v>
      </c>
      <c r="BO24" s="0">
        <v>3.5035</v>
      </c>
      <c r="BP24" s="0">
        <v>3.9595</v>
      </c>
      <c r="BQ24" s="0">
        <v>3.481485</v>
      </c>
      <c r="BR24" s="0">
        <v>3.792102</v>
      </c>
      <c r="BS24" s="0">
        <v>480.048133</v>
      </c>
      <c r="BT24" s="0">
        <v>530.557439</v>
      </c>
      <c r="BU24" s="0">
        <v>203.018113</v>
      </c>
      <c r="BV24" s="0">
        <v>229.44881</v>
      </c>
      <c r="BW24" s="0">
        <v>683.066246</v>
      </c>
      <c r="BX24" s="0">
        <v>760.006249</v>
      </c>
    </row>
    <row r="25">
      <c r="A25" s="0">
        <v>2003</v>
      </c>
      <c r="B25" s="0">
        <v>822.924274</v>
      </c>
      <c r="C25" s="0">
        <v>734.605116</v>
      </c>
      <c r="D25" s="0">
        <v>270</v>
      </c>
      <c r="E25" s="0">
        <v>130</v>
      </c>
      <c r="F25" s="0">
        <v>96</v>
      </c>
      <c r="G25" s="0">
        <v>73</v>
      </c>
      <c r="H25" s="0">
        <v>240.257584</v>
      </c>
      <c r="I25" s="0">
        <v>109.316885</v>
      </c>
      <c r="J25" s="0">
        <v>89.722282</v>
      </c>
      <c r="K25" s="0">
        <v>63.213462</v>
      </c>
      <c r="L25" s="0">
        <v>228.642565</v>
      </c>
      <c r="M25" s="0">
        <v>779.726997</v>
      </c>
      <c r="N25" s="0">
        <v>91.645987</v>
      </c>
      <c r="O25" s="0">
        <v>88.779442</v>
      </c>
      <c r="P25" s="0">
        <v>809.453801</v>
      </c>
      <c r="Q25" s="0">
        <v>2.657852</v>
      </c>
      <c r="R25" s="0">
        <v>1.9715</v>
      </c>
      <c r="S25" s="0">
        <v>0.9585</v>
      </c>
      <c r="T25" s="0">
        <v>3.6985</v>
      </c>
      <c r="U25" s="0">
        <v>3.452398</v>
      </c>
      <c r="V25" s="0">
        <v>12704.195411</v>
      </c>
      <c r="W25" s="0">
        <v>10692.543827</v>
      </c>
      <c r="X25" s="0">
        <v>2011.651584</v>
      </c>
      <c r="Y25" s="0">
        <v>15.834545</v>
      </c>
      <c r="Z25" s="0">
        <v>504.633986</v>
      </c>
      <c r="AA25" s="0">
        <v>208.72667</v>
      </c>
      <c r="AB25" s="0">
        <v>713.36065600000006</v>
      </c>
      <c r="AC25" s="0">
        <v>719.845427</v>
      </c>
      <c r="AD25" s="0">
        <v>753.678009</v>
      </c>
      <c r="AE25" s="0">
        <v>226.418535</v>
      </c>
      <c r="AF25" s="0">
        <v>256.77125</v>
      </c>
      <c r="AG25" s="0">
        <v>101.838515</v>
      </c>
      <c r="AH25" s="0">
        <v>116.596262</v>
      </c>
      <c r="AI25" s="0">
        <v>82.940141</v>
      </c>
      <c r="AJ25" s="0">
        <v>95.356239</v>
      </c>
      <c r="AK25" s="0">
        <v>58.286286</v>
      </c>
      <c r="AL25" s="0">
        <v>69.401112</v>
      </c>
      <c r="AM25" s="0">
        <v>764.352086</v>
      </c>
      <c r="AN25" s="0">
        <v>796.777877</v>
      </c>
      <c r="AO25" s="0">
        <v>83.250824</v>
      </c>
      <c r="AP25" s="0">
        <v>93.960253</v>
      </c>
      <c r="AQ25" s="0">
        <v>791.93399</v>
      </c>
      <c r="AR25" s="0">
        <v>838.28576</v>
      </c>
      <c r="AS25" s="0">
        <v>12375.822653</v>
      </c>
      <c r="AT25" s="0">
        <v>13071.881296</v>
      </c>
      <c r="AU25" s="0">
        <v>10427.458847</v>
      </c>
      <c r="AV25" s="0">
        <v>11028.003223</v>
      </c>
      <c r="AW25" s="0">
        <v>1904.937551</v>
      </c>
      <c r="AX25" s="0">
        <v>2114.826565</v>
      </c>
      <c r="AY25" s="0">
        <v>15.157374</v>
      </c>
      <c r="AZ25" s="0">
        <v>16.442178</v>
      </c>
      <c r="BA25" s="0">
        <v>0.415527</v>
      </c>
      <c r="BB25" s="0">
        <v>0.513893</v>
      </c>
      <c r="BC25" s="0">
        <v>0.330993</v>
      </c>
      <c r="BD25" s="0">
        <v>0.414659</v>
      </c>
      <c r="BE25" s="0">
        <v>0.201221</v>
      </c>
      <c r="BF25" s="0">
        <v>0.245604</v>
      </c>
      <c r="BG25" s="0">
        <v>0.323755</v>
      </c>
      <c r="BH25" s="0">
        <v>0.413277</v>
      </c>
      <c r="BI25" s="0">
        <v>2.520066</v>
      </c>
      <c r="BJ25" s="0">
        <v>2.792092</v>
      </c>
      <c r="BK25" s="0">
        <v>1.8575</v>
      </c>
      <c r="BL25" s="0">
        <v>2.0795</v>
      </c>
      <c r="BM25" s="0">
        <v>0.9055</v>
      </c>
      <c r="BN25" s="0">
        <v>1.0075</v>
      </c>
      <c r="BO25" s="0">
        <v>3.4905</v>
      </c>
      <c r="BP25" s="0">
        <v>3.9005</v>
      </c>
      <c r="BQ25" s="0">
        <v>3.303644</v>
      </c>
      <c r="BR25" s="0">
        <v>3.594763</v>
      </c>
      <c r="BS25" s="0">
        <v>483.657744</v>
      </c>
      <c r="BT25" s="0">
        <v>530.626849</v>
      </c>
      <c r="BU25" s="0">
        <v>195.67657</v>
      </c>
      <c r="BV25" s="0">
        <v>220.136578</v>
      </c>
      <c r="BW25" s="0">
        <v>679.334314</v>
      </c>
      <c r="BX25" s="0">
        <v>750.763427</v>
      </c>
    </row>
    <row r="26">
      <c r="A26" s="0">
        <v>2004</v>
      </c>
      <c r="B26" s="0">
        <v>867.736238</v>
      </c>
      <c r="C26" s="0">
        <v>770.08748</v>
      </c>
      <c r="D26" s="0">
        <v>309</v>
      </c>
      <c r="E26" s="0">
        <v>143</v>
      </c>
      <c r="F26" s="0">
        <v>113</v>
      </c>
      <c r="G26" s="0">
        <v>72</v>
      </c>
      <c r="H26" s="0">
        <v>260.672857</v>
      </c>
      <c r="I26" s="0">
        <v>121.028537</v>
      </c>
      <c r="J26" s="0">
        <v>100.149652</v>
      </c>
      <c r="K26" s="0">
        <v>70.010173</v>
      </c>
      <c r="L26" s="0">
        <v>192.398404</v>
      </c>
      <c r="M26" s="0">
        <v>773.142984</v>
      </c>
      <c r="N26" s="0">
        <v>77.736729</v>
      </c>
      <c r="O26" s="0">
        <v>85.676033</v>
      </c>
      <c r="P26" s="0">
        <v>869.19225</v>
      </c>
      <c r="Q26" s="0">
        <v>2.63845</v>
      </c>
      <c r="R26" s="0">
        <v>1.9675</v>
      </c>
      <c r="S26" s="0">
        <v>0.9595</v>
      </c>
      <c r="T26" s="0">
        <v>3.6695</v>
      </c>
      <c r="U26" s="0">
        <v>3.277299</v>
      </c>
      <c r="V26" s="0">
        <v>13456.80391</v>
      </c>
      <c r="W26" s="0">
        <v>11349.825162</v>
      </c>
      <c r="X26" s="0">
        <v>2106.978748</v>
      </c>
      <c r="Y26" s="0">
        <v>15.657349</v>
      </c>
      <c r="Z26" s="0">
        <v>512.771484</v>
      </c>
      <c r="AA26" s="0">
        <v>201.906906</v>
      </c>
      <c r="AB26" s="0">
        <v>714.67839</v>
      </c>
      <c r="AC26" s="0">
        <v>756.668077</v>
      </c>
      <c r="AD26" s="0">
        <v>790.099796</v>
      </c>
      <c r="AE26" s="0">
        <v>247.365267</v>
      </c>
      <c r="AF26" s="0">
        <v>274.007041</v>
      </c>
      <c r="AG26" s="0">
        <v>114.092711</v>
      </c>
      <c r="AH26" s="0">
        <v>128.600896</v>
      </c>
      <c r="AI26" s="0">
        <v>92.319559</v>
      </c>
      <c r="AJ26" s="0">
        <v>106.274589</v>
      </c>
      <c r="AK26" s="0">
        <v>65.969756</v>
      </c>
      <c r="AL26" s="0">
        <v>75.461925</v>
      </c>
      <c r="AM26" s="0">
        <v>758.085671</v>
      </c>
      <c r="AN26" s="0">
        <v>791.216488</v>
      </c>
      <c r="AO26" s="0">
        <v>80.455676</v>
      </c>
      <c r="AP26" s="0">
        <v>90.203382</v>
      </c>
      <c r="AQ26" s="0">
        <v>851.313969</v>
      </c>
      <c r="AR26" s="0">
        <v>899.59087</v>
      </c>
      <c r="AS26" s="0">
        <v>13134.644262</v>
      </c>
      <c r="AT26" s="0">
        <v>13831.32431</v>
      </c>
      <c r="AU26" s="0">
        <v>11073.539044</v>
      </c>
      <c r="AV26" s="0">
        <v>11702.514416</v>
      </c>
      <c r="AW26" s="0">
        <v>2009.277986</v>
      </c>
      <c r="AX26" s="0">
        <v>2198.707297</v>
      </c>
      <c r="AY26" s="0">
        <v>15.061773</v>
      </c>
      <c r="AZ26" s="0">
        <v>16.197116</v>
      </c>
      <c r="BA26" s="0">
        <v>0.406881</v>
      </c>
      <c r="BB26" s="0">
        <v>0.49828</v>
      </c>
      <c r="BC26" s="0">
        <v>0.337318</v>
      </c>
      <c r="BD26" s="0">
        <v>0.413998</v>
      </c>
      <c r="BE26" s="0">
        <v>0.217986</v>
      </c>
      <c r="BF26" s="0">
        <v>0.255335</v>
      </c>
      <c r="BG26" s="0">
        <v>0.367885</v>
      </c>
      <c r="BH26" s="0">
        <v>0.443461</v>
      </c>
      <c r="BI26" s="0">
        <v>2.514093</v>
      </c>
      <c r="BJ26" s="0">
        <v>2.75957</v>
      </c>
      <c r="BK26" s="0">
        <v>1.8615</v>
      </c>
      <c r="BL26" s="0">
        <v>2.0625</v>
      </c>
      <c r="BM26" s="0">
        <v>0.9115</v>
      </c>
      <c r="BN26" s="0">
        <v>1.0025</v>
      </c>
      <c r="BO26" s="0">
        <v>3.4835</v>
      </c>
      <c r="BP26" s="0">
        <v>3.8505</v>
      </c>
      <c r="BQ26" s="0">
        <v>3.122781</v>
      </c>
      <c r="BR26" s="0">
        <v>3.405775</v>
      </c>
      <c r="BS26" s="0">
        <v>492.830689</v>
      </c>
      <c r="BT26" s="0">
        <v>535.847735</v>
      </c>
      <c r="BU26" s="0">
        <v>190.83337</v>
      </c>
      <c r="BV26" s="0">
        <v>211.957628</v>
      </c>
      <c r="BW26" s="0">
        <v>683.664059</v>
      </c>
      <c r="BX26" s="0">
        <v>747.80536299999994</v>
      </c>
    </row>
    <row r="27">
      <c r="A27" s="0">
        <v>2005</v>
      </c>
      <c r="B27" s="0">
        <v>926.957526</v>
      </c>
      <c r="C27" s="0">
        <v>812.321377</v>
      </c>
      <c r="D27" s="0">
        <v>331</v>
      </c>
      <c r="E27" s="0">
        <v>149</v>
      </c>
      <c r="F27" s="0">
        <v>109</v>
      </c>
      <c r="G27" s="0">
        <v>66</v>
      </c>
      <c r="H27" s="0">
        <v>272.501438</v>
      </c>
      <c r="I27" s="0">
        <v>129.284109</v>
      </c>
      <c r="J27" s="0">
        <v>107.734958</v>
      </c>
      <c r="K27" s="0">
        <v>73.988211</v>
      </c>
      <c r="L27" s="0">
        <v>221.727459</v>
      </c>
      <c r="M27" s="0">
        <v>769.720876</v>
      </c>
      <c r="N27" s="0">
        <v>108.421797</v>
      </c>
      <c r="O27" s="0">
        <v>83.126366</v>
      </c>
      <c r="P27" s="0">
        <v>927.345454</v>
      </c>
      <c r="Q27" s="0">
        <v>2.623348</v>
      </c>
      <c r="R27" s="0">
        <v>1.9645</v>
      </c>
      <c r="S27" s="0">
        <v>0.9605</v>
      </c>
      <c r="T27" s="0">
        <v>3.6465</v>
      </c>
      <c r="U27" s="0">
        <v>3.135693</v>
      </c>
      <c r="V27" s="0">
        <v>14218.097222</v>
      </c>
      <c r="W27" s="0">
        <v>11999.759584</v>
      </c>
      <c r="X27" s="0">
        <v>2218.337638</v>
      </c>
      <c r="Y27" s="0">
        <v>15.602212</v>
      </c>
      <c r="Z27" s="0">
        <v>525.342964</v>
      </c>
      <c r="AA27" s="0">
        <v>196.785793</v>
      </c>
      <c r="AB27" s="0">
        <v>722.12875700000006</v>
      </c>
      <c r="AC27" s="0">
        <v>799.131022</v>
      </c>
      <c r="AD27" s="0">
        <v>833.496847</v>
      </c>
      <c r="AE27" s="0">
        <v>261.488375</v>
      </c>
      <c r="AF27" s="0">
        <v>286.092072</v>
      </c>
      <c r="AG27" s="0">
        <v>121.84471</v>
      </c>
      <c r="AH27" s="0">
        <v>136.982589</v>
      </c>
      <c r="AI27" s="0">
        <v>101.623716</v>
      </c>
      <c r="AJ27" s="0">
        <v>115.799219</v>
      </c>
      <c r="AK27" s="0">
        <v>68.91098</v>
      </c>
      <c r="AL27" s="0">
        <v>79.393221</v>
      </c>
      <c r="AM27" s="0">
        <v>755.268144</v>
      </c>
      <c r="AN27" s="0">
        <v>787.878273</v>
      </c>
      <c r="AO27" s="0">
        <v>78.511792</v>
      </c>
      <c r="AP27" s="0">
        <v>87.003352</v>
      </c>
      <c r="AQ27" s="0">
        <v>903.635237</v>
      </c>
      <c r="AR27" s="0">
        <v>959.650093</v>
      </c>
      <c r="AS27" s="0">
        <v>13908.999002</v>
      </c>
      <c r="AT27" s="0">
        <v>14601.467043</v>
      </c>
      <c r="AU27" s="0">
        <v>11713.990879</v>
      </c>
      <c r="AV27" s="0">
        <v>12371.716335</v>
      </c>
      <c r="AW27" s="0">
        <v>2125.195827</v>
      </c>
      <c r="AX27" s="0">
        <v>2304.638171</v>
      </c>
      <c r="AY27" s="0">
        <v>15.080083</v>
      </c>
      <c r="AZ27" s="0">
        <v>16.109526</v>
      </c>
      <c r="BA27" s="0">
        <v>0.394873</v>
      </c>
      <c r="BB27" s="0">
        <v>0.480039</v>
      </c>
      <c r="BC27" s="0">
        <v>0.346147</v>
      </c>
      <c r="BD27" s="0">
        <v>0.413619</v>
      </c>
      <c r="BE27" s="0">
        <v>0.234814</v>
      </c>
      <c r="BF27" s="0">
        <v>0.269834</v>
      </c>
      <c r="BG27" s="0">
        <v>0.412015</v>
      </c>
      <c r="BH27" s="0">
        <v>0.482539</v>
      </c>
      <c r="BI27" s="0">
        <v>2.508993</v>
      </c>
      <c r="BJ27" s="0">
        <v>2.732001</v>
      </c>
      <c r="BK27" s="0">
        <v>1.8705</v>
      </c>
      <c r="BL27" s="0">
        <v>2.0565</v>
      </c>
      <c r="BM27" s="0">
        <v>0.9185</v>
      </c>
      <c r="BN27" s="0">
        <v>1.0045</v>
      </c>
      <c r="BO27" s="0">
        <v>3.4775</v>
      </c>
      <c r="BP27" s="0">
        <v>3.8085</v>
      </c>
      <c r="BQ27" s="0">
        <v>2.986965</v>
      </c>
      <c r="BR27" s="0">
        <v>3.265137</v>
      </c>
      <c r="BS27" s="0">
        <v>505.371249</v>
      </c>
      <c r="BT27" s="0">
        <v>548.04717</v>
      </c>
      <c r="BU27" s="0">
        <v>186.268122</v>
      </c>
      <c r="BV27" s="0">
        <v>205.279741</v>
      </c>
      <c r="BW27" s="0">
        <v>691.639371</v>
      </c>
      <c r="BX27" s="0">
        <v>753.32691100000011</v>
      </c>
    </row>
    <row r="28">
      <c r="A28" s="0">
        <v>2006</v>
      </c>
      <c r="B28" s="0">
        <v>999.432594</v>
      </c>
      <c r="C28" s="0">
        <v>858.656236</v>
      </c>
      <c r="D28" s="0">
        <v>304</v>
      </c>
      <c r="E28" s="0">
        <v>146</v>
      </c>
      <c r="F28" s="0">
        <v>155</v>
      </c>
      <c r="G28" s="0">
        <v>92</v>
      </c>
      <c r="H28" s="0">
        <v>283.339087</v>
      </c>
      <c r="I28" s="0">
        <v>137.667999</v>
      </c>
      <c r="J28" s="0">
        <v>115.655633</v>
      </c>
      <c r="K28" s="0">
        <v>77.809823</v>
      </c>
      <c r="L28" s="0">
        <v>230.166155</v>
      </c>
      <c r="M28" s="0">
        <v>770.062288</v>
      </c>
      <c r="N28" s="0">
        <v>117.640479</v>
      </c>
      <c r="O28" s="0">
        <v>81.27167</v>
      </c>
      <c r="P28" s="0">
        <v>980.946188</v>
      </c>
      <c r="Q28" s="0">
        <v>2.61221</v>
      </c>
      <c r="R28" s="0">
        <v>1.9625</v>
      </c>
      <c r="S28" s="0">
        <v>0.9625</v>
      </c>
      <c r="T28" s="0">
        <v>3.6295</v>
      </c>
      <c r="U28" s="0">
        <v>3.032646</v>
      </c>
      <c r="V28" s="0">
        <v>15014.630998</v>
      </c>
      <c r="W28" s="0">
        <v>12677.586817</v>
      </c>
      <c r="X28" s="0">
        <v>2337.044181</v>
      </c>
      <c r="Y28" s="0">
        <v>15.565112</v>
      </c>
      <c r="Z28" s="0">
        <v>540.294941</v>
      </c>
      <c r="AA28" s="0">
        <v>193.155187</v>
      </c>
      <c r="AB28" s="0">
        <v>733.450128</v>
      </c>
      <c r="AC28" s="0">
        <v>846.021281</v>
      </c>
      <c r="AD28" s="0">
        <v>879.217364</v>
      </c>
      <c r="AE28" s="0">
        <v>271.277622</v>
      </c>
      <c r="AF28" s="0">
        <v>298.06501</v>
      </c>
      <c r="AG28" s="0">
        <v>129.669627</v>
      </c>
      <c r="AH28" s="0">
        <v>144.890472</v>
      </c>
      <c r="AI28" s="0">
        <v>109.419965</v>
      </c>
      <c r="AJ28" s="0">
        <v>123.498281</v>
      </c>
      <c r="AK28" s="0">
        <v>72.92688</v>
      </c>
      <c r="AL28" s="0">
        <v>82.926384</v>
      </c>
      <c r="AM28" s="0">
        <v>755.925362</v>
      </c>
      <c r="AN28" s="0">
        <v>788.120737</v>
      </c>
      <c r="AO28" s="0">
        <v>76.962362</v>
      </c>
      <c r="AP28" s="0">
        <v>84.916834</v>
      </c>
      <c r="AQ28" s="0">
        <v>951.366655</v>
      </c>
      <c r="AR28" s="0">
        <v>1012.548233</v>
      </c>
      <c r="AS28" s="0">
        <v>14723.467415</v>
      </c>
      <c r="AT28" s="0">
        <v>15421.24306</v>
      </c>
      <c r="AU28" s="0">
        <v>12384.292402</v>
      </c>
      <c r="AV28" s="0">
        <v>13069.301473</v>
      </c>
      <c r="AW28" s="0">
        <v>2237.41443</v>
      </c>
      <c r="AX28" s="0">
        <v>2428.371132</v>
      </c>
      <c r="AY28" s="0">
        <v>15.046341</v>
      </c>
      <c r="AZ28" s="0">
        <v>16.05061</v>
      </c>
      <c r="BA28" s="0">
        <v>0.386596</v>
      </c>
      <c r="BB28" s="0">
        <v>0.463634</v>
      </c>
      <c r="BC28" s="0">
        <v>0.359957</v>
      </c>
      <c r="BD28" s="0">
        <v>0.413241</v>
      </c>
      <c r="BE28" s="0">
        <v>0.250814</v>
      </c>
      <c r="BF28" s="0">
        <v>0.28466</v>
      </c>
      <c r="BG28" s="0">
        <v>0.452512</v>
      </c>
      <c r="BH28" s="0">
        <v>0.523598</v>
      </c>
      <c r="BI28" s="0">
        <v>2.513482</v>
      </c>
      <c r="BJ28" s="0">
        <v>2.713681</v>
      </c>
      <c r="BK28" s="0">
        <v>1.8815</v>
      </c>
      <c r="BL28" s="0">
        <v>2.0495</v>
      </c>
      <c r="BM28" s="0">
        <v>0.9255</v>
      </c>
      <c r="BN28" s="0">
        <v>1.0025</v>
      </c>
      <c r="BO28" s="0">
        <v>3.4835</v>
      </c>
      <c r="BP28" s="0">
        <v>3.7785</v>
      </c>
      <c r="BQ28" s="0">
        <v>2.909062</v>
      </c>
      <c r="BR28" s="0">
        <v>3.152711</v>
      </c>
      <c r="BS28" s="0">
        <v>522.356603</v>
      </c>
      <c r="BT28" s="0">
        <v>560.863106</v>
      </c>
      <c r="BU28" s="0">
        <v>183.070413</v>
      </c>
      <c r="BV28" s="0">
        <v>201.566709</v>
      </c>
      <c r="BW28" s="0">
        <v>705.427016</v>
      </c>
      <c r="BX28" s="0">
        <v>762.429815</v>
      </c>
    </row>
    <row r="29">
      <c r="A29" s="0">
        <v>2007</v>
      </c>
      <c r="B29" s="0">
        <v>944.459154</v>
      </c>
      <c r="C29" s="0">
        <v>906.092181</v>
      </c>
      <c r="D29" s="0">
        <v>296</v>
      </c>
      <c r="E29" s="0">
        <v>162</v>
      </c>
      <c r="F29" s="0">
        <v>130</v>
      </c>
      <c r="G29" s="0">
        <v>79</v>
      </c>
      <c r="H29" s="0">
        <v>289.759834</v>
      </c>
      <c r="I29" s="0">
        <v>144.473633</v>
      </c>
      <c r="J29" s="0">
        <v>122.558906</v>
      </c>
      <c r="K29" s="0">
        <v>80.810918</v>
      </c>
      <c r="L29" s="0">
        <v>156.407248</v>
      </c>
      <c r="M29" s="0">
        <v>774.43802</v>
      </c>
      <c r="N29" s="0">
        <v>80.208845</v>
      </c>
      <c r="O29" s="0">
        <v>79.931999</v>
      </c>
      <c r="P29" s="0">
        <v>1027.027223</v>
      </c>
      <c r="Q29" s="0">
        <v>2.604768</v>
      </c>
      <c r="R29" s="0">
        <v>1.9625</v>
      </c>
      <c r="S29" s="0">
        <v>0.9645</v>
      </c>
      <c r="T29" s="0">
        <v>3.6165</v>
      </c>
      <c r="U29" s="0">
        <v>2.965982</v>
      </c>
      <c r="V29" s="0">
        <v>15862.764042</v>
      </c>
      <c r="W29" s="0">
        <v>13408.30916</v>
      </c>
      <c r="X29" s="0">
        <v>2454.454882</v>
      </c>
      <c r="Y29" s="0">
        <v>15.473059</v>
      </c>
      <c r="Z29" s="0">
        <v>555.488094</v>
      </c>
      <c r="AA29" s="0">
        <v>190.372478</v>
      </c>
      <c r="AB29" s="0">
        <v>745.860572</v>
      </c>
      <c r="AC29" s="0">
        <v>890.85732</v>
      </c>
      <c r="AD29" s="0">
        <v>925.730071</v>
      </c>
      <c r="AE29" s="0">
        <v>277.87034</v>
      </c>
      <c r="AF29" s="0">
        <v>305.89427</v>
      </c>
      <c r="AG29" s="0">
        <v>137.248174</v>
      </c>
      <c r="AH29" s="0">
        <v>151.330509</v>
      </c>
      <c r="AI29" s="0">
        <v>116.417269</v>
      </c>
      <c r="AJ29" s="0">
        <v>129.835091</v>
      </c>
      <c r="AK29" s="0">
        <v>75.168798</v>
      </c>
      <c r="AL29" s="0">
        <v>87.0149</v>
      </c>
      <c r="AM29" s="0">
        <v>760.497207</v>
      </c>
      <c r="AN29" s="0">
        <v>791.944176</v>
      </c>
      <c r="AO29" s="0">
        <v>75.825723</v>
      </c>
      <c r="AP29" s="0">
        <v>83.267993</v>
      </c>
      <c r="AQ29" s="0">
        <v>992.385528</v>
      </c>
      <c r="AR29" s="0">
        <v>1057.412746</v>
      </c>
      <c r="AS29" s="0">
        <v>15567.23055</v>
      </c>
      <c r="AT29" s="0">
        <v>16262.794549</v>
      </c>
      <c r="AU29" s="0">
        <v>13109.280212</v>
      </c>
      <c r="AV29" s="0">
        <v>13814.18796</v>
      </c>
      <c r="AW29" s="0">
        <v>2362.018784</v>
      </c>
      <c r="AX29" s="0">
        <v>2556.766794</v>
      </c>
      <c r="AY29" s="0">
        <v>14.956859</v>
      </c>
      <c r="AZ29" s="0">
        <v>15.947379</v>
      </c>
      <c r="BA29" s="0">
        <v>0.376362</v>
      </c>
      <c r="BB29" s="0">
        <v>0.447254</v>
      </c>
      <c r="BC29" s="0">
        <v>0.36244</v>
      </c>
      <c r="BD29" s="0">
        <v>0.417933</v>
      </c>
      <c r="BE29" s="0">
        <v>0.266814</v>
      </c>
      <c r="BF29" s="0">
        <v>0.29965</v>
      </c>
      <c r="BG29" s="0">
        <v>0.489596</v>
      </c>
      <c r="BH29" s="0">
        <v>0.567009</v>
      </c>
      <c r="BI29" s="0">
        <v>2.515962</v>
      </c>
      <c r="BJ29" s="0">
        <v>2.705196</v>
      </c>
      <c r="BK29" s="0">
        <v>1.8895</v>
      </c>
      <c r="BL29" s="0">
        <v>2.0445</v>
      </c>
      <c r="BM29" s="0">
        <v>0.9305</v>
      </c>
      <c r="BN29" s="0">
        <v>1.0025</v>
      </c>
      <c r="BO29" s="0">
        <v>3.4885</v>
      </c>
      <c r="BP29" s="0">
        <v>3.7635</v>
      </c>
      <c r="BQ29" s="0">
        <v>2.854466</v>
      </c>
      <c r="BR29" s="0">
        <v>3.071379</v>
      </c>
      <c r="BS29" s="0">
        <v>535.374557</v>
      </c>
      <c r="BT29" s="0">
        <v>576.898206</v>
      </c>
      <c r="BU29" s="0">
        <v>180.305547</v>
      </c>
      <c r="BV29" s="0">
        <v>198.376304</v>
      </c>
      <c r="BW29" s="0">
        <v>715.680104</v>
      </c>
      <c r="BX29" s="0">
        <v>775.27451</v>
      </c>
    </row>
    <row r="30">
      <c r="A30" s="0">
        <v>2008</v>
      </c>
      <c r="B30" s="0">
        <v>822.847336</v>
      </c>
      <c r="C30" s="0">
        <v>951.454941</v>
      </c>
      <c r="D30" s="0">
        <v>303</v>
      </c>
      <c r="E30" s="0">
        <v>164</v>
      </c>
      <c r="F30" s="0">
        <v>138</v>
      </c>
      <c r="G30" s="0">
        <v>70</v>
      </c>
      <c r="H30" s="0">
        <v>350.240653</v>
      </c>
      <c r="I30" s="0">
        <v>179.489378</v>
      </c>
      <c r="J30" s="0">
        <v>153.94733</v>
      </c>
      <c r="K30" s="0">
        <v>99.635407</v>
      </c>
      <c r="L30" s="0">
        <v>125.175881</v>
      </c>
      <c r="M30" s="0">
        <v>782.806059</v>
      </c>
      <c r="N30" s="0">
        <v>70.871639</v>
      </c>
      <c r="O30" s="0">
        <v>78.814697</v>
      </c>
      <c r="P30" s="0">
        <v>1062.622995</v>
      </c>
      <c r="Q30" s="0">
        <v>2.600811</v>
      </c>
      <c r="R30" s="0">
        <v>1.9635</v>
      </c>
      <c r="S30" s="0">
        <v>0.9665</v>
      </c>
      <c r="T30" s="0">
        <v>3.6085</v>
      </c>
      <c r="U30" s="0">
        <v>2.930284</v>
      </c>
      <c r="V30" s="0">
        <v>16767.275903</v>
      </c>
      <c r="W30" s="0">
        <v>14205.128046</v>
      </c>
      <c r="X30" s="0">
        <v>2562.147857</v>
      </c>
      <c r="Y30" s="0">
        <v>15.280645</v>
      </c>
      <c r="Z30" s="0">
        <v>568.869538</v>
      </c>
      <c r="AA30" s="0">
        <v>187.69373</v>
      </c>
      <c r="AB30" s="0">
        <v>756.563268</v>
      </c>
      <c r="AC30" s="0">
        <v>932.95963</v>
      </c>
      <c r="AD30" s="0">
        <v>971.180129</v>
      </c>
      <c r="AE30" s="0">
        <v>334.957433</v>
      </c>
      <c r="AF30" s="0">
        <v>364.985782</v>
      </c>
      <c r="AG30" s="0">
        <v>171.197169</v>
      </c>
      <c r="AH30" s="0">
        <v>187.521622</v>
      </c>
      <c r="AI30" s="0">
        <v>146.594793</v>
      </c>
      <c r="AJ30" s="0">
        <v>164.975898</v>
      </c>
      <c r="AK30" s="0">
        <v>93.393742</v>
      </c>
      <c r="AL30" s="0">
        <v>106.315454</v>
      </c>
      <c r="AM30" s="0">
        <v>768.73402</v>
      </c>
      <c r="AN30" s="0">
        <v>801.116286</v>
      </c>
      <c r="AO30" s="0">
        <v>74.545081</v>
      </c>
      <c r="AP30" s="0">
        <v>82.240685</v>
      </c>
      <c r="AQ30" s="0">
        <v>1024.425356</v>
      </c>
      <c r="AR30" s="0">
        <v>1094.060302</v>
      </c>
      <c r="AS30" s="0">
        <v>16469.265347</v>
      </c>
      <c r="AT30" s="0">
        <v>17181.016205</v>
      </c>
      <c r="AU30" s="0">
        <v>13901.627267</v>
      </c>
      <c r="AV30" s="0">
        <v>14612.561799</v>
      </c>
      <c r="AW30" s="0">
        <v>2476.181678</v>
      </c>
      <c r="AX30" s="0">
        <v>2671.362155</v>
      </c>
      <c r="AY30" s="0">
        <v>14.782953</v>
      </c>
      <c r="AZ30" s="0">
        <v>15.810329</v>
      </c>
      <c r="BA30" s="0">
        <v>0.367253</v>
      </c>
      <c r="BB30" s="0">
        <v>0.430874</v>
      </c>
      <c r="BC30" s="0">
        <v>0.368508</v>
      </c>
      <c r="BD30" s="0">
        <v>0.424091</v>
      </c>
      <c r="BE30" s="0">
        <v>0.279031</v>
      </c>
      <c r="BF30" s="0">
        <v>0.316349</v>
      </c>
      <c r="BG30" s="0">
        <v>0.523527</v>
      </c>
      <c r="BH30" s="0">
        <v>0.612651</v>
      </c>
      <c r="BI30" s="0">
        <v>2.511569</v>
      </c>
      <c r="BJ30" s="0">
        <v>2.706327</v>
      </c>
      <c r="BK30" s="0">
        <v>1.8955</v>
      </c>
      <c r="BL30" s="0">
        <v>2.0475</v>
      </c>
      <c r="BM30" s="0">
        <v>0.9355</v>
      </c>
      <c r="BN30" s="0">
        <v>1.0045</v>
      </c>
      <c r="BO30" s="0">
        <v>3.4805</v>
      </c>
      <c r="BP30" s="0">
        <v>3.7615</v>
      </c>
      <c r="BQ30" s="0">
        <v>2.825755</v>
      </c>
      <c r="BR30" s="0">
        <v>3.032343</v>
      </c>
      <c r="BS30" s="0">
        <v>544.356974</v>
      </c>
      <c r="BT30" s="0">
        <v>593.241486</v>
      </c>
      <c r="BU30" s="0">
        <v>177.205043</v>
      </c>
      <c r="BV30" s="0">
        <v>196.237914</v>
      </c>
      <c r="BW30" s="0">
        <v>721.562017</v>
      </c>
      <c r="BX30" s="0">
        <v>789.47939999999994</v>
      </c>
    </row>
    <row r="31">
      <c r="A31" s="0">
        <v>2009</v>
      </c>
      <c r="B31" s="0">
        <v>957.599427</v>
      </c>
      <c r="C31" s="0">
        <v>991.547006</v>
      </c>
      <c r="D31" s="0">
        <v>309</v>
      </c>
      <c r="E31" s="0">
        <v>174</v>
      </c>
      <c r="F31" s="0">
        <v>154</v>
      </c>
      <c r="G31" s="0">
        <v>108</v>
      </c>
      <c r="H31" s="0">
        <v>344.526188</v>
      </c>
      <c r="I31" s="0">
        <v>181.705433</v>
      </c>
      <c r="J31" s="0">
        <v>157.678147</v>
      </c>
      <c r="K31" s="0">
        <v>100.320693</v>
      </c>
      <c r="L31" s="0">
        <v>134.598203</v>
      </c>
      <c r="M31" s="0">
        <v>794.823396</v>
      </c>
      <c r="N31" s="0">
        <v>89.389646</v>
      </c>
      <c r="O31" s="0">
        <v>77.618743</v>
      </c>
      <c r="P31" s="0">
        <v>1085.18524</v>
      </c>
      <c r="Q31" s="0">
        <v>2.600175</v>
      </c>
      <c r="R31" s="0">
        <v>1.9655</v>
      </c>
      <c r="S31" s="0">
        <v>0.9685</v>
      </c>
      <c r="T31" s="0">
        <v>3.6055</v>
      </c>
      <c r="U31" s="0">
        <v>2.919629</v>
      </c>
      <c r="V31" s="0">
        <v>17730.501784</v>
      </c>
      <c r="W31" s="0">
        <v>15078.138039</v>
      </c>
      <c r="X31" s="0">
        <v>2652.363745</v>
      </c>
      <c r="Y31" s="0">
        <v>14.959327</v>
      </c>
      <c r="Z31" s="0">
        <v>578.593331</v>
      </c>
      <c r="AA31" s="0">
        <v>184.44466</v>
      </c>
      <c r="AB31" s="0">
        <v>763.037991</v>
      </c>
      <c r="AC31" s="0">
        <v>970.244777</v>
      </c>
      <c r="AD31" s="0">
        <v>1012.553043</v>
      </c>
      <c r="AE31" s="0">
        <v>327.039374</v>
      </c>
      <c r="AF31" s="0">
        <v>360.276128</v>
      </c>
      <c r="AG31" s="0">
        <v>170.869415</v>
      </c>
      <c r="AH31" s="0">
        <v>191.571409</v>
      </c>
      <c r="AI31" s="0">
        <v>149.250114</v>
      </c>
      <c r="AJ31" s="0">
        <v>167.925426</v>
      </c>
      <c r="AK31" s="0">
        <v>92.778928</v>
      </c>
      <c r="AL31" s="0">
        <v>107.810649</v>
      </c>
      <c r="AM31" s="0">
        <v>781.336986</v>
      </c>
      <c r="AN31" s="0">
        <v>813.391036</v>
      </c>
      <c r="AO31" s="0">
        <v>73.06505</v>
      </c>
      <c r="AP31" s="0">
        <v>81.27425</v>
      </c>
      <c r="AQ31" s="0">
        <v>1046.713405</v>
      </c>
      <c r="AR31" s="0">
        <v>1118.099521</v>
      </c>
      <c r="AS31" s="0">
        <v>17436.823492</v>
      </c>
      <c r="AT31" s="0">
        <v>18165.03478</v>
      </c>
      <c r="AU31" s="0">
        <v>14770.606109</v>
      </c>
      <c r="AV31" s="0">
        <v>15493.53377</v>
      </c>
      <c r="AW31" s="0">
        <v>2558.684272</v>
      </c>
      <c r="AX31" s="0">
        <v>2771.074962</v>
      </c>
      <c r="AY31" s="0">
        <v>14.488753</v>
      </c>
      <c r="AZ31" s="0">
        <v>15.489486</v>
      </c>
      <c r="BA31" s="0">
        <v>0.358143</v>
      </c>
      <c r="BB31" s="0">
        <v>0.419691</v>
      </c>
      <c r="BC31" s="0">
        <v>0.373905</v>
      </c>
      <c r="BD31" s="0">
        <v>0.430249</v>
      </c>
      <c r="BE31" s="0">
        <v>0.294521</v>
      </c>
      <c r="BF31" s="0">
        <v>0.337195</v>
      </c>
      <c r="BG31" s="0">
        <v>0.549445</v>
      </c>
      <c r="BH31" s="0">
        <v>0.66165</v>
      </c>
      <c r="BI31" s="0">
        <v>2.505589</v>
      </c>
      <c r="BJ31" s="0">
        <v>2.709735</v>
      </c>
      <c r="BK31" s="0">
        <v>1.8885</v>
      </c>
      <c r="BL31" s="0">
        <v>2.0515</v>
      </c>
      <c r="BM31" s="0">
        <v>0.9325</v>
      </c>
      <c r="BN31" s="0">
        <v>1.0075</v>
      </c>
      <c r="BO31" s="0">
        <v>3.4715</v>
      </c>
      <c r="BP31" s="0">
        <v>3.7635</v>
      </c>
      <c r="BQ31" s="0">
        <v>2.824086</v>
      </c>
      <c r="BR31" s="0">
        <v>3.024893</v>
      </c>
      <c r="BS31" s="0">
        <v>551.877172</v>
      </c>
      <c r="BT31" s="0">
        <v>605.346756</v>
      </c>
      <c r="BU31" s="0">
        <v>172.669463</v>
      </c>
      <c r="BV31" s="0">
        <v>193.743249</v>
      </c>
      <c r="BW31" s="0">
        <v>724.54663499999992</v>
      </c>
      <c r="BX31" s="0">
        <v>799.090005</v>
      </c>
    </row>
    <row r="32">
      <c r="A32" s="0">
        <v>2010</v>
      </c>
      <c r="B32" s="0">
        <v>916.004782</v>
      </c>
      <c r="C32" s="0">
        <v>1023.520197</v>
      </c>
      <c r="D32" s="0">
        <v>310</v>
      </c>
      <c r="E32" s="0">
        <v>159</v>
      </c>
      <c r="F32" s="0">
        <v>166</v>
      </c>
      <c r="G32" s="0">
        <v>98</v>
      </c>
      <c r="H32" s="0">
        <v>362.580187</v>
      </c>
      <c r="I32" s="0">
        <v>196.997036</v>
      </c>
      <c r="J32" s="0">
        <v>172.959597</v>
      </c>
      <c r="K32" s="0">
        <v>108.298477</v>
      </c>
      <c r="L32" s="0">
        <v>130.568637</v>
      </c>
      <c r="M32" s="0">
        <v>809.877115</v>
      </c>
      <c r="N32" s="0">
        <v>90.082238</v>
      </c>
      <c r="O32" s="0">
        <v>76.092056</v>
      </c>
      <c r="P32" s="0">
        <v>1094.046067</v>
      </c>
      <c r="Q32" s="0">
        <v>2.602739</v>
      </c>
      <c r="R32" s="0">
        <v>1.9685</v>
      </c>
      <c r="S32" s="0">
        <v>0.9715</v>
      </c>
      <c r="T32" s="0">
        <v>3.6065</v>
      </c>
      <c r="U32" s="0">
        <v>2.928496</v>
      </c>
      <c r="V32" s="0">
        <v>18643.881642</v>
      </c>
      <c r="W32" s="0">
        <v>15924.347059</v>
      </c>
      <c r="X32" s="0">
        <v>2719.534583</v>
      </c>
      <c r="Y32" s="0">
        <v>14.58674</v>
      </c>
      <c r="Z32" s="0">
        <v>583.279233</v>
      </c>
      <c r="AA32" s="0">
        <v>180.135043</v>
      </c>
      <c r="AB32" s="0">
        <v>763.414276</v>
      </c>
      <c r="AC32" s="0">
        <v>1000.052651</v>
      </c>
      <c r="AD32" s="0">
        <v>1043.429591</v>
      </c>
      <c r="AE32" s="0">
        <v>348.879212</v>
      </c>
      <c r="AF32" s="0">
        <v>376.674874</v>
      </c>
      <c r="AG32" s="0">
        <v>186.164105</v>
      </c>
      <c r="AH32" s="0">
        <v>206.863378</v>
      </c>
      <c r="AI32" s="0">
        <v>163.48105</v>
      </c>
      <c r="AJ32" s="0">
        <v>185.760149</v>
      </c>
      <c r="AK32" s="0">
        <v>100.291497</v>
      </c>
      <c r="AL32" s="0">
        <v>116.31841</v>
      </c>
      <c r="AM32" s="0">
        <v>797.204483</v>
      </c>
      <c r="AN32" s="0">
        <v>829.328121</v>
      </c>
      <c r="AO32" s="0">
        <v>71.164774</v>
      </c>
      <c r="AP32" s="0">
        <v>80.106249</v>
      </c>
      <c r="AQ32" s="0">
        <v>1057.488623</v>
      </c>
      <c r="AR32" s="0">
        <v>1127.065145</v>
      </c>
      <c r="AS32" s="0">
        <v>18363.549848</v>
      </c>
      <c r="AT32" s="0">
        <v>19085.641252</v>
      </c>
      <c r="AU32" s="0">
        <v>15617.024082</v>
      </c>
      <c r="AV32" s="0">
        <v>16334.900944</v>
      </c>
      <c r="AW32" s="0">
        <v>2624.594568</v>
      </c>
      <c r="AX32" s="0">
        <v>2849.855229</v>
      </c>
      <c r="AY32" s="0">
        <v>14.122914</v>
      </c>
      <c r="AZ32" s="0">
        <v>15.139095</v>
      </c>
      <c r="BA32" s="0">
        <v>0.34172</v>
      </c>
      <c r="BB32" s="0">
        <v>0.411068</v>
      </c>
      <c r="BC32" s="0">
        <v>0.375268</v>
      </c>
      <c r="BD32" s="0">
        <v>0.437128</v>
      </c>
      <c r="BE32" s="0">
        <v>0.305279</v>
      </c>
      <c r="BF32" s="0">
        <v>0.355968</v>
      </c>
      <c r="BG32" s="0">
        <v>0.578745</v>
      </c>
      <c r="BH32" s="0">
        <v>0.714157</v>
      </c>
      <c r="BI32" s="0">
        <v>2.502767</v>
      </c>
      <c r="BJ32" s="0">
        <v>2.715327</v>
      </c>
      <c r="BK32" s="0">
        <v>1.8905</v>
      </c>
      <c r="BL32" s="0">
        <v>2.0565</v>
      </c>
      <c r="BM32" s="0">
        <v>0.9355</v>
      </c>
      <c r="BN32" s="0">
        <v>1.0105</v>
      </c>
      <c r="BO32" s="0">
        <v>3.4635</v>
      </c>
      <c r="BP32" s="0">
        <v>3.7695</v>
      </c>
      <c r="BQ32" s="0">
        <v>2.847819</v>
      </c>
      <c r="BR32" s="0">
        <v>3.019577</v>
      </c>
      <c r="BS32" s="0">
        <v>553.383865</v>
      </c>
      <c r="BT32" s="0">
        <v>614.391486</v>
      </c>
      <c r="BU32" s="0">
        <v>168.385601</v>
      </c>
      <c r="BV32" s="0">
        <v>190.190631</v>
      </c>
      <c r="BW32" s="0">
        <v>721.769466</v>
      </c>
      <c r="BX32" s="0">
        <v>804.58211699999993</v>
      </c>
    </row>
    <row r="33">
      <c r="A33" s="0">
        <v>2011</v>
      </c>
      <c r="B33" s="0">
        <v>956.131572</v>
      </c>
      <c r="C33" s="0">
        <v>1045.369283</v>
      </c>
      <c r="D33" s="0">
        <v>325</v>
      </c>
      <c r="E33" s="0">
        <v>180</v>
      </c>
      <c r="F33" s="0">
        <v>132</v>
      </c>
      <c r="G33" s="0">
        <v>101</v>
      </c>
      <c r="H33" s="0">
        <v>343.435758</v>
      </c>
      <c r="I33" s="0">
        <v>192.376985</v>
      </c>
      <c r="J33" s="0">
        <v>170.786433</v>
      </c>
      <c r="K33" s="0">
        <v>105.302698</v>
      </c>
      <c r="L33" s="0">
        <v>93.039718</v>
      </c>
      <c r="M33" s="0">
        <v>827.150843</v>
      </c>
      <c r="N33" s="0">
        <v>73.244033</v>
      </c>
      <c r="O33" s="0">
        <v>74.071116</v>
      </c>
      <c r="P33" s="0">
        <v>1089.443682</v>
      </c>
      <c r="Q33" s="0">
        <v>2.608419</v>
      </c>
      <c r="R33" s="0">
        <v>1.9735</v>
      </c>
      <c r="S33" s="0">
        <v>0.9745</v>
      </c>
      <c r="T33" s="0">
        <v>3.6115</v>
      </c>
      <c r="U33" s="0">
        <v>2.951917</v>
      </c>
      <c r="V33" s="0">
        <v>19573.30215</v>
      </c>
      <c r="W33" s="0">
        <v>16812.959092</v>
      </c>
      <c r="X33" s="0">
        <v>2760.343057</v>
      </c>
      <c r="Y33" s="0">
        <v>14.102593</v>
      </c>
      <c r="Z33" s="0">
        <v>582.132286</v>
      </c>
      <c r="AA33" s="0">
        <v>174.50364</v>
      </c>
      <c r="AB33" s="0">
        <v>756.635926</v>
      </c>
      <c r="AC33" s="0">
        <v>1021.034641</v>
      </c>
      <c r="AD33" s="0">
        <v>1065.587734</v>
      </c>
      <c r="AE33" s="0">
        <v>324.127143</v>
      </c>
      <c r="AF33" s="0">
        <v>363.460071</v>
      </c>
      <c r="AG33" s="0">
        <v>179.526075</v>
      </c>
      <c r="AH33" s="0">
        <v>202.390979</v>
      </c>
      <c r="AI33" s="0">
        <v>161.751795</v>
      </c>
      <c r="AJ33" s="0">
        <v>183.091626</v>
      </c>
      <c r="AK33" s="0">
        <v>96.281457</v>
      </c>
      <c r="AL33" s="0">
        <v>112.745151</v>
      </c>
      <c r="AM33" s="0">
        <v>815.112766</v>
      </c>
      <c r="AN33" s="0">
        <v>847.258162</v>
      </c>
      <c r="AO33" s="0">
        <v>69.215355</v>
      </c>
      <c r="AP33" s="0">
        <v>78.668264</v>
      </c>
      <c r="AQ33" s="0">
        <v>1057.002892</v>
      </c>
      <c r="AR33" s="0">
        <v>1121.212315</v>
      </c>
      <c r="AS33" s="0">
        <v>19279.213839</v>
      </c>
      <c r="AT33" s="0">
        <v>20021.647852</v>
      </c>
      <c r="AU33" s="0">
        <v>16506.990539</v>
      </c>
      <c r="AV33" s="0">
        <v>17223.278049</v>
      </c>
      <c r="AW33" s="0">
        <v>2649.986141</v>
      </c>
      <c r="AX33" s="0">
        <v>2911.173624</v>
      </c>
      <c r="AY33" s="0">
        <v>13.652612</v>
      </c>
      <c r="AZ33" s="0">
        <v>14.704919</v>
      </c>
      <c r="BA33" s="0">
        <v>0.327515</v>
      </c>
      <c r="BB33" s="0">
        <v>0.403351</v>
      </c>
      <c r="BC33" s="0">
        <v>0.376248</v>
      </c>
      <c r="BD33" s="0">
        <v>0.446432</v>
      </c>
      <c r="BE33" s="0">
        <v>0.316036</v>
      </c>
      <c r="BF33" s="0">
        <v>0.374741</v>
      </c>
      <c r="BG33" s="0">
        <v>0.608045</v>
      </c>
      <c r="BH33" s="0">
        <v>0.769586</v>
      </c>
      <c r="BI33" s="0">
        <v>2.50299</v>
      </c>
      <c r="BJ33" s="0">
        <v>2.740061</v>
      </c>
      <c r="BK33" s="0">
        <v>1.8945</v>
      </c>
      <c r="BL33" s="0">
        <v>2.0725</v>
      </c>
      <c r="BM33" s="0">
        <v>0.9395</v>
      </c>
      <c r="BN33" s="0">
        <v>1.0195</v>
      </c>
      <c r="BO33" s="0">
        <v>3.4615</v>
      </c>
      <c r="BP33" s="0">
        <v>3.7955</v>
      </c>
      <c r="BQ33" s="0">
        <v>2.874729</v>
      </c>
      <c r="BR33" s="0">
        <v>3.038139</v>
      </c>
      <c r="BS33" s="0">
        <v>547.300005</v>
      </c>
      <c r="BT33" s="0">
        <v>619.856627</v>
      </c>
      <c r="BU33" s="0">
        <v>162.6406</v>
      </c>
      <c r="BV33" s="0">
        <v>186.176639</v>
      </c>
      <c r="BW33" s="0">
        <v>709.940605</v>
      </c>
      <c r="BX33" s="0">
        <v>806.033266</v>
      </c>
    </row>
    <row r="34">
      <c r="A34" s="0">
        <v>2012</v>
      </c>
      <c r="B34" s="0">
        <v>1103.424929</v>
      </c>
      <c r="C34" s="0">
        <v>1039.452619</v>
      </c>
      <c r="D34" s="0">
        <v>367</v>
      </c>
      <c r="E34" s="0">
        <v>176</v>
      </c>
      <c r="F34" s="0">
        <v>163</v>
      </c>
      <c r="G34" s="0">
        <v>108</v>
      </c>
      <c r="H34" s="0">
        <v>316.248314</v>
      </c>
      <c r="I34" s="0">
        <v>179.684568</v>
      </c>
      <c r="J34" s="0">
        <v>159.100524</v>
      </c>
      <c r="K34" s="0">
        <v>104.262563</v>
      </c>
      <c r="L34" s="0">
        <v>81.8503</v>
      </c>
      <c r="M34" s="0">
        <v>845.804575</v>
      </c>
      <c r="N34" s="0">
        <v>65.273024</v>
      </c>
      <c r="O34" s="0">
        <v>71.068644</v>
      </c>
      <c r="P34" s="0">
        <v>1071.642893</v>
      </c>
      <c r="Q34" s="0">
        <v>2.617165</v>
      </c>
      <c r="R34" s="0">
        <v>1.9795</v>
      </c>
      <c r="S34" s="0">
        <v>0.9775</v>
      </c>
      <c r="T34" s="0">
        <v>3.6205</v>
      </c>
      <c r="U34" s="0">
        <v>2.992777</v>
      </c>
      <c r="V34" s="0">
        <v>20526.130953</v>
      </c>
      <c r="W34" s="0">
        <v>17736.731161</v>
      </c>
      <c r="X34" s="0">
        <v>2789.399791</v>
      </c>
      <c r="Y34" s="0">
        <v>13.589506</v>
      </c>
      <c r="Z34" s="0">
        <v>583.444127</v>
      </c>
      <c r="AA34" s="0">
        <v>164.362169</v>
      </c>
      <c r="AB34" s="0">
        <v>747.806296</v>
      </c>
      <c r="AC34" s="0">
        <v>1017.577452</v>
      </c>
      <c r="AD34" s="0">
        <v>1059.181383</v>
      </c>
      <c r="AE34" s="0">
        <v>300.652601</v>
      </c>
      <c r="AF34" s="0">
        <v>331.939473</v>
      </c>
      <c r="AG34" s="0">
        <v>168.094317</v>
      </c>
      <c r="AH34" s="0">
        <v>189.031197</v>
      </c>
      <c r="AI34" s="0">
        <v>150.749114</v>
      </c>
      <c r="AJ34" s="0">
        <v>170.236252</v>
      </c>
      <c r="AK34" s="0">
        <v>97.948341</v>
      </c>
      <c r="AL34" s="0">
        <v>110.993997</v>
      </c>
      <c r="AM34" s="0">
        <v>834.628051</v>
      </c>
      <c r="AN34" s="0">
        <v>866.760194</v>
      </c>
      <c r="AO34" s="0">
        <v>66.100567</v>
      </c>
      <c r="AP34" s="0">
        <v>75.902851</v>
      </c>
      <c r="AQ34" s="0">
        <v>1045.082224</v>
      </c>
      <c r="AR34" s="0">
        <v>1099.302345</v>
      </c>
      <c r="AS34" s="0">
        <v>20234.063665</v>
      </c>
      <c r="AT34" s="0">
        <v>20980.027634</v>
      </c>
      <c r="AU34" s="0">
        <v>17432.436749</v>
      </c>
      <c r="AV34" s="0">
        <v>18147.851359</v>
      </c>
      <c r="AW34" s="0">
        <v>2665.428193</v>
      </c>
      <c r="AX34" s="0">
        <v>2953.002731</v>
      </c>
      <c r="AY34" s="0">
        <v>13.121846</v>
      </c>
      <c r="AZ34" s="0">
        <v>14.232267</v>
      </c>
      <c r="BA34" s="0">
        <v>0.313043</v>
      </c>
      <c r="BB34" s="0">
        <v>0.393821</v>
      </c>
      <c r="BC34" s="0">
        <v>0.377419</v>
      </c>
      <c r="BD34" s="0">
        <v>0.456214</v>
      </c>
      <c r="BE34" s="0">
        <v>0.327326</v>
      </c>
      <c r="BF34" s="0">
        <v>0.392875</v>
      </c>
      <c r="BG34" s="0">
        <v>0.638699</v>
      </c>
      <c r="BH34" s="0">
        <v>0.818361</v>
      </c>
      <c r="BI34" s="0">
        <v>2.502718</v>
      </c>
      <c r="BJ34" s="0">
        <v>2.75326</v>
      </c>
      <c r="BK34" s="0">
        <v>1.8915</v>
      </c>
      <c r="BL34" s="0">
        <v>2.0805</v>
      </c>
      <c r="BM34" s="0">
        <v>0.9375</v>
      </c>
      <c r="BN34" s="0">
        <v>1.0225</v>
      </c>
      <c r="BO34" s="0">
        <v>3.4615</v>
      </c>
      <c r="BP34" s="0">
        <v>3.8105</v>
      </c>
      <c r="BQ34" s="0">
        <v>2.912131</v>
      </c>
      <c r="BR34" s="0">
        <v>3.088081</v>
      </c>
      <c r="BS34" s="0">
        <v>547.046359</v>
      </c>
      <c r="BT34" s="0">
        <v>625.604898</v>
      </c>
      <c r="BU34" s="0">
        <v>152.577999</v>
      </c>
      <c r="BV34" s="0">
        <v>175.176071</v>
      </c>
      <c r="BW34" s="0">
        <v>699.624358</v>
      </c>
      <c r="BX34" s="0">
        <v>800.780969</v>
      </c>
    </row>
    <row r="35">
      <c r="A35" s="0">
        <v>2013</v>
      </c>
      <c r="B35" s="0">
        <v>965.926449</v>
      </c>
      <c r="C35" s="0">
        <v>1009.413479</v>
      </c>
      <c r="D35" s="0">
        <v>317</v>
      </c>
      <c r="E35" s="0">
        <v>191</v>
      </c>
      <c r="F35" s="0">
        <v>153</v>
      </c>
      <c r="G35" s="0">
        <v>113</v>
      </c>
      <c r="H35" s="0">
        <v>335.151063</v>
      </c>
      <c r="I35" s="0">
        <v>191.442204</v>
      </c>
      <c r="J35" s="0">
        <v>167.772567</v>
      </c>
      <c r="K35" s="0">
        <v>121.60284</v>
      </c>
      <c r="L35" s="0">
        <v>75.096323</v>
      </c>
      <c r="M35" s="0">
        <v>864.679683</v>
      </c>
      <c r="N35" s="0">
        <v>71.341506</v>
      </c>
      <c r="O35" s="0">
        <v>66.321374</v>
      </c>
      <c r="P35" s="0">
        <v>1040.908508</v>
      </c>
      <c r="Q35" s="0">
        <v>2.719839</v>
      </c>
      <c r="R35" s="0">
        <v>2.0555</v>
      </c>
      <c r="S35" s="0">
        <v>1.0115</v>
      </c>
      <c r="T35" s="0">
        <v>3.7645</v>
      </c>
      <c r="U35" s="0">
        <v>3.043097</v>
      </c>
      <c r="V35" s="0">
        <v>21413.686748</v>
      </c>
      <c r="W35" s="0">
        <v>18595.716154</v>
      </c>
      <c r="X35" s="0">
        <v>2817.970594</v>
      </c>
      <c r="Y35" s="0">
        <v>13.15967</v>
      </c>
      <c r="Z35" s="0">
        <v>591.83385</v>
      </c>
      <c r="AA35" s="0">
        <v>152.353786</v>
      </c>
      <c r="AB35" s="0">
        <v>744.187636</v>
      </c>
      <c r="AC35" s="0">
        <v>984.99548</v>
      </c>
      <c r="AD35" s="0">
        <v>1031.313699</v>
      </c>
      <c r="AE35" s="0">
        <v>321.84741</v>
      </c>
      <c r="AF35" s="0">
        <v>352.401064</v>
      </c>
      <c r="AG35" s="0">
        <v>182.201261</v>
      </c>
      <c r="AH35" s="0">
        <v>202.713103</v>
      </c>
      <c r="AI35" s="0">
        <v>160.643646</v>
      </c>
      <c r="AJ35" s="0">
        <v>177.347876</v>
      </c>
      <c r="AK35" s="0">
        <v>112.465273</v>
      </c>
      <c r="AL35" s="0">
        <v>129.456236</v>
      </c>
      <c r="AM35" s="0">
        <v>853.049195</v>
      </c>
      <c r="AN35" s="0">
        <v>885.935307</v>
      </c>
      <c r="AO35" s="0">
        <v>61.622374</v>
      </c>
      <c r="AP35" s="0">
        <v>70.911391</v>
      </c>
      <c r="AQ35" s="0">
        <v>1012.219296</v>
      </c>
      <c r="AR35" s="0">
        <v>1068.176127</v>
      </c>
      <c r="AS35" s="0">
        <v>21126.415954</v>
      </c>
      <c r="AT35" s="0">
        <v>21872.342535</v>
      </c>
      <c r="AU35" s="0">
        <v>18293.885888</v>
      </c>
      <c r="AV35" s="0">
        <v>19009.087156</v>
      </c>
      <c r="AW35" s="0">
        <v>2697.843489</v>
      </c>
      <c r="AX35" s="0">
        <v>2989.897055</v>
      </c>
      <c r="AY35" s="0">
        <v>12.721459</v>
      </c>
      <c r="AZ35" s="0">
        <v>13.803519</v>
      </c>
      <c r="BA35" s="0">
        <v>0.296004</v>
      </c>
      <c r="BB35" s="0">
        <v>0.364821</v>
      </c>
      <c r="BC35" s="0">
        <v>0.363884</v>
      </c>
      <c r="BD35" s="0">
        <v>0.431437</v>
      </c>
      <c r="BE35" s="0">
        <v>0.31508</v>
      </c>
      <c r="BF35" s="0">
        <v>0.369209</v>
      </c>
      <c r="BG35" s="0">
        <v>0.766151</v>
      </c>
      <c r="BH35" s="0">
        <v>0.916035</v>
      </c>
      <c r="BI35" s="0">
        <v>2.602414</v>
      </c>
      <c r="BJ35" s="0">
        <v>2.851868</v>
      </c>
      <c r="BK35" s="0">
        <v>1.9665</v>
      </c>
      <c r="BL35" s="0">
        <v>2.1535</v>
      </c>
      <c r="BM35" s="0">
        <v>0.9705</v>
      </c>
      <c r="BN35" s="0">
        <v>1.0545</v>
      </c>
      <c r="BO35" s="0">
        <v>3.6015</v>
      </c>
      <c r="BP35" s="0">
        <v>3.9495</v>
      </c>
      <c r="BQ35" s="0">
        <v>2.955506</v>
      </c>
      <c r="BR35" s="0">
        <v>3.147088</v>
      </c>
      <c r="BS35" s="0">
        <v>557.092576</v>
      </c>
      <c r="BT35" s="0">
        <v>633.60414</v>
      </c>
      <c r="BU35" s="0">
        <v>141.741434</v>
      </c>
      <c r="BV35" s="0">
        <v>163.646963</v>
      </c>
      <c r="BW35" s="0">
        <v>698.83401</v>
      </c>
      <c r="BX35" s="0">
        <v>797.25110300000006</v>
      </c>
    </row>
    <row r="36">
      <c r="A36" s="0">
        <v>2014</v>
      </c>
      <c r="B36" s="0">
        <v>884.833893</v>
      </c>
      <c r="C36" s="0">
        <v>974.673018</v>
      </c>
      <c r="D36" s="0">
        <v>351</v>
      </c>
      <c r="E36" s="0">
        <v>193</v>
      </c>
      <c r="F36" s="0">
        <v>155</v>
      </c>
      <c r="G36" s="0">
        <v>168</v>
      </c>
      <c r="H36" s="0">
        <v>364.174757</v>
      </c>
      <c r="I36" s="0">
        <v>210.752323</v>
      </c>
      <c r="J36" s="0">
        <v>184.195876</v>
      </c>
      <c r="K36" s="0">
        <v>144.29746</v>
      </c>
      <c r="L36" s="0">
        <v>10.376517</v>
      </c>
      <c r="M36" s="0">
        <v>882.573488</v>
      </c>
      <c r="N36" s="0">
        <v>8.489877</v>
      </c>
      <c r="O36" s="0">
        <v>61.516068</v>
      </c>
      <c r="P36" s="0">
        <v>997.505333</v>
      </c>
      <c r="Q36" s="0">
        <v>2.83495</v>
      </c>
      <c r="R36" s="0">
        <v>2.1405</v>
      </c>
      <c r="S36" s="0">
        <v>1.0485</v>
      </c>
      <c r="T36" s="0">
        <v>3.9275</v>
      </c>
      <c r="U36" s="0">
        <v>3.110156</v>
      </c>
      <c r="V36" s="0">
        <v>22194.768447</v>
      </c>
      <c r="W36" s="0">
        <v>19356.677889</v>
      </c>
      <c r="X36" s="0">
        <v>2838.090558</v>
      </c>
      <c r="Y36" s="0">
        <v>12.787205</v>
      </c>
      <c r="Z36" s="0">
        <v>602.808721</v>
      </c>
      <c r="AA36" s="0">
        <v>141.626948</v>
      </c>
      <c r="AB36" s="0">
        <v>744.435669</v>
      </c>
      <c r="AC36" s="0">
        <v>950.251136</v>
      </c>
      <c r="AD36" s="0">
        <v>997.377649</v>
      </c>
      <c r="AE36" s="0">
        <v>353.543643</v>
      </c>
      <c r="AF36" s="0">
        <v>376.354067</v>
      </c>
      <c r="AG36" s="0">
        <v>200.653412</v>
      </c>
      <c r="AH36" s="0">
        <v>221.326569</v>
      </c>
      <c r="AI36" s="0">
        <v>176.040997</v>
      </c>
      <c r="AJ36" s="0">
        <v>194.672046</v>
      </c>
      <c r="AK36" s="0">
        <v>135.402893</v>
      </c>
      <c r="AL36" s="0">
        <v>152.455564</v>
      </c>
      <c r="AM36" s="0">
        <v>869.515253</v>
      </c>
      <c r="AN36" s="0">
        <v>903.571291</v>
      </c>
      <c r="AO36" s="0">
        <v>57.391011</v>
      </c>
      <c r="AP36" s="0">
        <v>66.64965</v>
      </c>
      <c r="AQ36" s="0">
        <v>966.506803</v>
      </c>
      <c r="AR36" s="0">
        <v>1026.043179</v>
      </c>
      <c r="AS36" s="0">
        <v>21907.556442</v>
      </c>
      <c r="AT36" s="0">
        <v>22662.403743</v>
      </c>
      <c r="AU36" s="0">
        <v>19054.919406</v>
      </c>
      <c r="AV36" s="0">
        <v>19773.57837</v>
      </c>
      <c r="AW36" s="0">
        <v>2729.313846</v>
      </c>
      <c r="AX36" s="0">
        <v>3010.012489</v>
      </c>
      <c r="AY36" s="0">
        <v>12.314077</v>
      </c>
      <c r="AZ36" s="0">
        <v>13.401851</v>
      </c>
      <c r="BA36" s="0">
        <v>0.278966</v>
      </c>
      <c r="BB36" s="0">
        <v>0.339147</v>
      </c>
      <c r="BC36" s="0">
        <v>0.340455</v>
      </c>
      <c r="BD36" s="0">
        <v>0.401718</v>
      </c>
      <c r="BE36" s="0">
        <v>0.300472</v>
      </c>
      <c r="BF36" s="0">
        <v>0.345933</v>
      </c>
      <c r="BG36" s="0">
        <v>0.854386</v>
      </c>
      <c r="BH36" s="0">
        <v>1.032012</v>
      </c>
      <c r="BI36" s="0">
        <v>2.71567</v>
      </c>
      <c r="BJ36" s="0">
        <v>2.961483</v>
      </c>
      <c r="BK36" s="0">
        <v>2.0495</v>
      </c>
      <c r="BL36" s="0">
        <v>2.2365</v>
      </c>
      <c r="BM36" s="0">
        <v>1.0075</v>
      </c>
      <c r="BN36" s="0">
        <v>1.0905</v>
      </c>
      <c r="BO36" s="0">
        <v>3.7595</v>
      </c>
      <c r="BP36" s="0">
        <v>4.1065</v>
      </c>
      <c r="BQ36" s="0">
        <v>3.019306</v>
      </c>
      <c r="BR36" s="0">
        <v>3.22008</v>
      </c>
      <c r="BS36" s="0">
        <v>571.325681</v>
      </c>
      <c r="BT36" s="0">
        <v>641.090921</v>
      </c>
      <c r="BU36" s="0">
        <v>131.506147</v>
      </c>
      <c r="BV36" s="0">
        <v>154.600494</v>
      </c>
      <c r="BW36" s="0">
        <v>702.83182800000009</v>
      </c>
      <c r="BX36" s="0">
        <v>795.691415</v>
      </c>
    </row>
    <row r="37">
      <c r="A37" s="0">
        <v>2015</v>
      </c>
      <c r="B37" s="0">
        <v>858.169913</v>
      </c>
      <c r="C37" s="0">
        <v>934.703996</v>
      </c>
      <c r="D37" s="0">
        <v>325</v>
      </c>
      <c r="E37" s="0">
        <v>166</v>
      </c>
      <c r="F37" s="0">
        <v>150</v>
      </c>
      <c r="G37" s="0">
        <v>116</v>
      </c>
      <c r="H37" s="0">
        <v>320.128625</v>
      </c>
      <c r="I37" s="0">
        <v>188.626494</v>
      </c>
      <c r="J37" s="0">
        <v>165.388358</v>
      </c>
      <c r="K37" s="0">
        <v>139.391531</v>
      </c>
      <c r="L37" s="0">
        <v>41.743559</v>
      </c>
      <c r="M37" s="0">
        <v>898.508707</v>
      </c>
      <c r="N37" s="0">
        <v>41.743559</v>
      </c>
      <c r="O37" s="0">
        <v>57.304497</v>
      </c>
      <c r="P37" s="0">
        <v>941.698178</v>
      </c>
      <c r="Q37" s="0">
        <v>2.963949</v>
      </c>
      <c r="R37" s="0">
        <v>2.2365</v>
      </c>
      <c r="S37" s="0">
        <v>1.0905</v>
      </c>
      <c r="T37" s="0">
        <v>4.1105</v>
      </c>
      <c r="U37" s="0">
        <v>3.201175</v>
      </c>
      <c r="V37" s="0">
        <v>23036.587689</v>
      </c>
      <c r="W37" s="0">
        <v>20194.029605</v>
      </c>
      <c r="X37" s="0">
        <v>2842.558084</v>
      </c>
      <c r="Y37" s="0">
        <v>12.339319</v>
      </c>
      <c r="Z37" s="0">
        <v>613.331188</v>
      </c>
      <c r="AA37" s="0">
        <v>132.277265</v>
      </c>
      <c r="AB37" s="0">
        <v>745.608453</v>
      </c>
      <c r="AC37" s="0">
        <v>913.370889</v>
      </c>
      <c r="AD37" s="0">
        <v>957.128502</v>
      </c>
      <c r="AE37" s="0">
        <v>309.680547</v>
      </c>
      <c r="AF37" s="0">
        <v>330.076147</v>
      </c>
      <c r="AG37" s="0">
        <v>177.883833</v>
      </c>
      <c r="AH37" s="0">
        <v>198.183766</v>
      </c>
      <c r="AI37" s="0">
        <v>156.518394</v>
      </c>
      <c r="AJ37" s="0">
        <v>174.636751</v>
      </c>
      <c r="AK37" s="0">
        <v>129.786126</v>
      </c>
      <c r="AL37" s="0">
        <v>146.810006</v>
      </c>
      <c r="AM37" s="0">
        <v>886.165749</v>
      </c>
      <c r="AN37" s="0">
        <v>919.17909</v>
      </c>
      <c r="AO37" s="0">
        <v>53.231245</v>
      </c>
      <c r="AP37" s="0">
        <v>62.709908</v>
      </c>
      <c r="AQ37" s="0">
        <v>909.270091</v>
      </c>
      <c r="AR37" s="0">
        <v>970.686076</v>
      </c>
      <c r="AS37" s="0">
        <v>22717.003482</v>
      </c>
      <c r="AT37" s="0">
        <v>23508.557553</v>
      </c>
      <c r="AU37" s="0">
        <v>19879.229128</v>
      </c>
      <c r="AV37" s="0">
        <v>20615.131021</v>
      </c>
      <c r="AW37" s="0">
        <v>2714.753167</v>
      </c>
      <c r="AX37" s="0">
        <v>3007.197445</v>
      </c>
      <c r="AY37" s="0">
        <v>11.827071</v>
      </c>
      <c r="AZ37" s="0">
        <v>12.899456</v>
      </c>
      <c r="BA37" s="0">
        <v>0.261927</v>
      </c>
      <c r="BB37" s="0">
        <v>0.313373</v>
      </c>
      <c r="BC37" s="0">
        <v>0.320131</v>
      </c>
      <c r="BD37" s="0">
        <v>0.378977</v>
      </c>
      <c r="BE37" s="0">
        <v>0.285131</v>
      </c>
      <c r="BF37" s="0">
        <v>0.326784</v>
      </c>
      <c r="BG37" s="0">
        <v>0.934193</v>
      </c>
      <c r="BH37" s="0">
        <v>1.150823</v>
      </c>
      <c r="BI37" s="0">
        <v>2.844247</v>
      </c>
      <c r="BJ37" s="0">
        <v>3.093098</v>
      </c>
      <c r="BK37" s="0">
        <v>2.1465</v>
      </c>
      <c r="BL37" s="0">
        <v>2.3365</v>
      </c>
      <c r="BM37" s="0">
        <v>1.0495</v>
      </c>
      <c r="BN37" s="0">
        <v>1.1345</v>
      </c>
      <c r="BO37" s="0">
        <v>3.9425</v>
      </c>
      <c r="BP37" s="0">
        <v>4.2945</v>
      </c>
      <c r="BQ37" s="0">
        <v>3.102656</v>
      </c>
      <c r="BR37" s="0">
        <v>3.314469</v>
      </c>
      <c r="BS37" s="0">
        <v>586.531134</v>
      </c>
      <c r="BT37" s="0">
        <v>647.531907</v>
      </c>
      <c r="BU37" s="0">
        <v>122.983353</v>
      </c>
      <c r="BV37" s="0">
        <v>145.17923</v>
      </c>
      <c r="BW37" s="0">
        <v>709.51448699999992</v>
      </c>
      <c r="BX37" s="0">
        <v>792.711137</v>
      </c>
    </row>
    <row r="38">
      <c r="A38" s="0">
        <v>2016</v>
      </c>
      <c r="B38" s="0">
        <v>893.981137</v>
      </c>
      <c r="C38" s="0">
        <v>888.41127</v>
      </c>
      <c r="D38" s="0">
        <v>271</v>
      </c>
      <c r="E38" s="0">
        <v>143</v>
      </c>
      <c r="F38" s="0">
        <v>139</v>
      </c>
      <c r="G38" s="0">
        <v>121</v>
      </c>
      <c r="H38" s="0">
        <v>253.705566</v>
      </c>
      <c r="I38" s="0">
        <v>152.818479</v>
      </c>
      <c r="J38" s="0">
        <v>135.01406</v>
      </c>
      <c r="K38" s="0">
        <v>122.543724</v>
      </c>
      <c r="L38" s="0">
        <v>47.692524</v>
      </c>
      <c r="M38" s="0">
        <v>911.483315</v>
      </c>
      <c r="N38" s="0">
        <v>46.677789</v>
      </c>
      <c r="O38" s="0">
        <v>53.57632</v>
      </c>
      <c r="P38" s="0">
        <v>873.751848</v>
      </c>
      <c r="Q38" s="0">
        <v>3.108726</v>
      </c>
      <c r="R38" s="0">
        <v>2.3455</v>
      </c>
      <c r="S38" s="0">
        <v>1.1365</v>
      </c>
      <c r="T38" s="0">
        <v>4.3165</v>
      </c>
      <c r="U38" s="0">
        <v>3.318978</v>
      </c>
      <c r="V38" s="0">
        <v>23752.23967</v>
      </c>
      <c r="W38" s="0">
        <v>20926.703282</v>
      </c>
      <c r="X38" s="0">
        <v>2825.536388</v>
      </c>
      <c r="Y38" s="0">
        <v>11.895874</v>
      </c>
      <c r="Z38" s="0">
        <v>621.281388</v>
      </c>
      <c r="AA38" s="0">
        <v>123.771098</v>
      </c>
      <c r="AB38" s="0">
        <v>745.052486</v>
      </c>
      <c r="AC38" s="0">
        <v>870.581733</v>
      </c>
      <c r="AD38" s="0">
        <v>912.057267</v>
      </c>
      <c r="AE38" s="0">
        <v>241.838368</v>
      </c>
      <c r="AF38" s="0">
        <v>267.075813</v>
      </c>
      <c r="AG38" s="0">
        <v>142.7892</v>
      </c>
      <c r="AH38" s="0">
        <v>162.085935</v>
      </c>
      <c r="AI38" s="0">
        <v>126.393407</v>
      </c>
      <c r="AJ38" s="0">
        <v>144.405364</v>
      </c>
      <c r="AK38" s="0">
        <v>114.015757</v>
      </c>
      <c r="AL38" s="0">
        <v>129.537425</v>
      </c>
      <c r="AM38" s="0">
        <v>898.226513</v>
      </c>
      <c r="AN38" s="0">
        <v>932.836398</v>
      </c>
      <c r="AO38" s="0">
        <v>49.864514</v>
      </c>
      <c r="AP38" s="0">
        <v>58.877144</v>
      </c>
      <c r="AQ38" s="0">
        <v>839.143338</v>
      </c>
      <c r="AR38" s="0">
        <v>904.625183</v>
      </c>
      <c r="AS38" s="0">
        <v>23405.785723</v>
      </c>
      <c r="AT38" s="0">
        <v>24223.106599</v>
      </c>
      <c r="AU38" s="0">
        <v>20601.801978</v>
      </c>
      <c r="AV38" s="0">
        <v>21354.593363</v>
      </c>
      <c r="AW38" s="0">
        <v>2677.30023</v>
      </c>
      <c r="AX38" s="0">
        <v>2976.105649</v>
      </c>
      <c r="AY38" s="0">
        <v>11.375717</v>
      </c>
      <c r="AZ38" s="0">
        <v>12.384376</v>
      </c>
      <c r="BA38" s="0">
        <v>0.244878</v>
      </c>
      <c r="BB38" s="0">
        <v>0.285771</v>
      </c>
      <c r="BC38" s="0">
        <v>0.29874</v>
      </c>
      <c r="BD38" s="0">
        <v>0.357109</v>
      </c>
      <c r="BE38" s="0">
        <v>0.267006</v>
      </c>
      <c r="BF38" s="0">
        <v>0.307645</v>
      </c>
      <c r="BG38" s="0">
        <v>1.018213</v>
      </c>
      <c r="BH38" s="0">
        <v>1.279088</v>
      </c>
      <c r="BI38" s="0">
        <v>2.990538</v>
      </c>
      <c r="BJ38" s="0">
        <v>3.222465</v>
      </c>
      <c r="BK38" s="0">
        <v>2.2555</v>
      </c>
      <c r="BL38" s="0">
        <v>2.4345</v>
      </c>
      <c r="BM38" s="0">
        <v>1.0955</v>
      </c>
      <c r="BN38" s="0">
        <v>1.1765</v>
      </c>
      <c r="BO38" s="0">
        <v>4.1495</v>
      </c>
      <c r="BP38" s="0">
        <v>4.4785</v>
      </c>
      <c r="BQ38" s="0">
        <v>3.213083</v>
      </c>
      <c r="BR38" s="0">
        <v>3.437939</v>
      </c>
      <c r="BS38" s="0">
        <v>594.482468</v>
      </c>
      <c r="BT38" s="0">
        <v>657.255241</v>
      </c>
      <c r="BU38" s="0">
        <v>113.812986</v>
      </c>
      <c r="BV38" s="0">
        <v>136.731943</v>
      </c>
      <c r="BW38" s="0">
        <v>708.29545400000006</v>
      </c>
      <c r="BX38" s="0">
        <v>793.987184</v>
      </c>
    </row>
    <row r="39">
      <c r="A39" s="0">
        <v>2017</v>
      </c>
      <c r="B39" s="0">
        <v>836</v>
      </c>
      <c r="C39" s="0">
        <v>835.083695</v>
      </c>
      <c r="D39" s="0">
        <v>238</v>
      </c>
      <c r="E39" s="0">
        <v>176</v>
      </c>
      <c r="F39" s="0">
        <v>134</v>
      </c>
      <c r="G39" s="0">
        <v>138</v>
      </c>
      <c r="H39" s="0">
        <v>255.890673</v>
      </c>
      <c r="I39" s="0">
        <v>158.209952</v>
      </c>
      <c r="J39" s="0">
        <v>141.329544</v>
      </c>
      <c r="K39" s="0">
        <v>138.501943</v>
      </c>
      <c r="L39" s="0">
        <v>63</v>
      </c>
      <c r="M39" s="0">
        <v>920.527882</v>
      </c>
      <c r="N39" s="0">
        <v>60</v>
      </c>
      <c r="O39" s="0">
        <v>50.110926</v>
      </c>
      <c r="P39" s="0">
        <v>793.931153</v>
      </c>
      <c r="Q39" s="0">
        <v>3.271692</v>
      </c>
      <c r="R39" s="0">
        <v>2.4695</v>
      </c>
      <c r="S39" s="0">
        <v>1.1895</v>
      </c>
      <c r="T39" s="0">
        <v>4.5495</v>
      </c>
      <c r="U39" s="0">
        <v>3.465382</v>
      </c>
      <c r="V39" s="0">
        <v>24326.943181</v>
      </c>
      <c r="W39" s="0">
        <v>21544.768813</v>
      </c>
      <c r="X39" s="0">
        <v>2782.174368</v>
      </c>
      <c r="Y39" s="0">
        <v>11.436597</v>
      </c>
      <c r="Z39" s="0">
        <v>625.059117</v>
      </c>
      <c r="AA39" s="0">
        <v>115.630757</v>
      </c>
      <c r="AB39" s="0">
        <v>740.689874</v>
      </c>
      <c r="AC39" s="0">
        <v>819.095348</v>
      </c>
      <c r="AD39" s="0">
        <v>858.958474</v>
      </c>
      <c r="AE39" s="0">
        <v>243.882181</v>
      </c>
      <c r="AF39" s="0">
        <v>270.1304</v>
      </c>
      <c r="AG39" s="0">
        <v>145.61779</v>
      </c>
      <c r="AH39" s="0">
        <v>168.307153</v>
      </c>
      <c r="AI39" s="0">
        <v>133.640908</v>
      </c>
      <c r="AJ39" s="0">
        <v>150.956186</v>
      </c>
      <c r="AK39" s="0">
        <v>129.513807</v>
      </c>
      <c r="AL39" s="0">
        <v>146.791059</v>
      </c>
      <c r="AM39" s="0">
        <v>906.323261</v>
      </c>
      <c r="AN39" s="0">
        <v>941.880561</v>
      </c>
      <c r="AO39" s="0">
        <v>45.694573</v>
      </c>
      <c r="AP39" s="0">
        <v>55.545501</v>
      </c>
      <c r="AQ39" s="0">
        <v>753.232325</v>
      </c>
      <c r="AR39" s="0">
        <v>829.990111</v>
      </c>
      <c r="AS39" s="0">
        <v>23960.180819</v>
      </c>
      <c r="AT39" s="0">
        <v>24787.882851</v>
      </c>
      <c r="AU39" s="0">
        <v>21208.128878</v>
      </c>
      <c r="AV39" s="0">
        <v>21983.708813</v>
      </c>
      <c r="AW39" s="0">
        <v>2629.132976</v>
      </c>
      <c r="AX39" s="0">
        <v>2913.593463</v>
      </c>
      <c r="AY39" s="0">
        <v>10.84011</v>
      </c>
      <c r="AZ39" s="0">
        <v>11.887877</v>
      </c>
      <c r="BA39" s="0">
        <v>0.226084</v>
      </c>
      <c r="BB39" s="0">
        <v>0.262125</v>
      </c>
      <c r="BC39" s="0">
        <v>0.27907</v>
      </c>
      <c r="BD39" s="0">
        <v>0.340072</v>
      </c>
      <c r="BE39" s="0">
        <v>0.247554</v>
      </c>
      <c r="BF39" s="0">
        <v>0.287843</v>
      </c>
      <c r="BG39" s="0">
        <v>1.087852</v>
      </c>
      <c r="BH39" s="0">
        <v>1.414488</v>
      </c>
      <c r="BI39" s="0">
        <v>3.125495</v>
      </c>
      <c r="BJ39" s="0">
        <v>3.381624</v>
      </c>
      <c r="BK39" s="0">
        <v>2.3565</v>
      </c>
      <c r="BL39" s="0">
        <v>2.5575</v>
      </c>
      <c r="BM39" s="0">
        <v>1.1385</v>
      </c>
      <c r="BN39" s="0">
        <v>1.2295</v>
      </c>
      <c r="BO39" s="0">
        <v>4.3425</v>
      </c>
      <c r="BP39" s="0">
        <v>4.7085</v>
      </c>
      <c r="BQ39" s="0">
        <v>3.354189</v>
      </c>
      <c r="BR39" s="0">
        <v>3.600067</v>
      </c>
      <c r="BS39" s="0">
        <v>596.132906</v>
      </c>
      <c r="BT39" s="0">
        <v>658.168162</v>
      </c>
      <c r="BU39" s="0">
        <v>104.27873</v>
      </c>
      <c r="BV39" s="0">
        <v>128.694666</v>
      </c>
      <c r="BW39" s="0">
        <v>700.411636</v>
      </c>
      <c r="BX39" s="0">
        <v>786.862828</v>
      </c>
    </row>
    <row r="40">
      <c r="A40" s="0">
        <v>2018</v>
      </c>
      <c r="B40" s="0">
        <v>735</v>
      </c>
      <c r="C40" s="0">
        <v>774.556051</v>
      </c>
      <c r="D40" s="0">
        <v>206</v>
      </c>
      <c r="E40" s="0">
        <v>136</v>
      </c>
      <c r="F40" s="0">
        <v>151</v>
      </c>
      <c r="G40" s="0">
        <v>121</v>
      </c>
      <c r="H40" s="0">
        <v>225.694314</v>
      </c>
      <c r="I40" s="0">
        <v>143.905467</v>
      </c>
      <c r="J40" s="0">
        <v>130.376623</v>
      </c>
      <c r="K40" s="0">
        <v>138.425531</v>
      </c>
      <c r="L40" s="0">
        <v>35</v>
      </c>
      <c r="M40" s="0">
        <v>924.736751</v>
      </c>
      <c r="N40" s="0">
        <v>35</v>
      </c>
      <c r="O40" s="0">
        <v>46.736255</v>
      </c>
      <c r="P40" s="0">
        <v>702.5009</v>
      </c>
      <c r="Q40" s="0">
        <v>3.455905</v>
      </c>
      <c r="R40" s="0">
        <v>2.6105</v>
      </c>
      <c r="S40" s="0">
        <v>1.2505</v>
      </c>
      <c r="T40" s="0">
        <v>4.8135</v>
      </c>
      <c r="U40" s="0">
        <v>3.643607</v>
      </c>
      <c r="V40" s="0">
        <v>24851.433176</v>
      </c>
      <c r="W40" s="0">
        <v>22143.374642</v>
      </c>
      <c r="X40" s="0">
        <v>2708.058534</v>
      </c>
      <c r="Y40" s="0">
        <v>10.896991</v>
      </c>
      <c r="Z40" s="0">
        <v>623.315082</v>
      </c>
      <c r="AA40" s="0">
        <v>107.528727</v>
      </c>
      <c r="AB40" s="0">
        <v>730.843809</v>
      </c>
      <c r="AC40" s="0">
        <v>755.319478</v>
      </c>
      <c r="AD40" s="0">
        <v>799.691499</v>
      </c>
      <c r="AE40" s="0">
        <v>214.2394</v>
      </c>
      <c r="AF40" s="0">
        <v>244.101372</v>
      </c>
      <c r="AG40" s="0">
        <v>131.616165</v>
      </c>
      <c r="AH40" s="0">
        <v>155.248782</v>
      </c>
      <c r="AI40" s="0">
        <v>119.789379</v>
      </c>
      <c r="AJ40" s="0">
        <v>138.994528</v>
      </c>
      <c r="AK40" s="0">
        <v>127.789082</v>
      </c>
      <c r="AL40" s="0">
        <v>145.667355</v>
      </c>
      <c r="AM40" s="0">
        <v>909.711223</v>
      </c>
      <c r="AN40" s="0">
        <v>944.254911</v>
      </c>
      <c r="AO40" s="0">
        <v>41.747019</v>
      </c>
      <c r="AP40" s="0">
        <v>52.433841</v>
      </c>
      <c r="AQ40" s="0">
        <v>649.692064</v>
      </c>
      <c r="AR40" s="0">
        <v>750.549121</v>
      </c>
      <c r="AS40" s="0">
        <v>24522.700191</v>
      </c>
      <c r="AT40" s="0">
        <v>25295.13766</v>
      </c>
      <c r="AU40" s="0">
        <v>21793.597796</v>
      </c>
      <c r="AV40" s="0">
        <v>22590.400225</v>
      </c>
      <c r="AW40" s="0">
        <v>2538.39676</v>
      </c>
      <c r="AX40" s="0">
        <v>2847.040415</v>
      </c>
      <c r="AY40" s="0">
        <v>10.218486</v>
      </c>
      <c r="AZ40" s="0">
        <v>11.400196</v>
      </c>
      <c r="BA40" s="0">
        <v>0.202132</v>
      </c>
      <c r="BB40" s="0">
        <v>0.242799</v>
      </c>
      <c r="BC40" s="0">
        <v>0.257401</v>
      </c>
      <c r="BD40" s="0">
        <v>0.319523</v>
      </c>
      <c r="BE40" s="0">
        <v>0.223148</v>
      </c>
      <c r="BF40" s="0">
        <v>0.268041</v>
      </c>
      <c r="BG40" s="0">
        <v>1.146015</v>
      </c>
      <c r="BH40" s="0">
        <v>1.553719</v>
      </c>
      <c r="BI40" s="0">
        <v>3.274113</v>
      </c>
      <c r="BJ40" s="0">
        <v>3.571026</v>
      </c>
      <c r="BK40" s="0">
        <v>2.4695</v>
      </c>
      <c r="BL40" s="0">
        <v>2.7025</v>
      </c>
      <c r="BM40" s="0">
        <v>1.1855</v>
      </c>
      <c r="BN40" s="0">
        <v>1.2925</v>
      </c>
      <c r="BO40" s="0">
        <v>4.5565</v>
      </c>
      <c r="BP40" s="0">
        <v>4.9785</v>
      </c>
      <c r="BQ40" s="0">
        <v>3.526171</v>
      </c>
      <c r="BR40" s="0">
        <v>3.793908</v>
      </c>
      <c r="BS40" s="0">
        <v>584.502524</v>
      </c>
      <c r="BT40" s="0">
        <v>659.668713</v>
      </c>
      <c r="BU40" s="0">
        <v>94.376404</v>
      </c>
      <c r="BV40" s="0">
        <v>122.058768</v>
      </c>
      <c r="BW40" s="0">
        <v>678.878928</v>
      </c>
      <c r="BX40" s="0">
        <v>781.727481</v>
      </c>
    </row>
    <row r="41">
      <c r="A41" s="0">
        <v>2019</v>
      </c>
      <c r="B41" s="0">
        <v>801</v>
      </c>
      <c r="C41" s="0">
        <v>707.11813</v>
      </c>
      <c r="D41" s="0">
        <v>200</v>
      </c>
      <c r="E41" s="0">
        <v>151</v>
      </c>
      <c r="F41" s="0">
        <v>118</v>
      </c>
      <c r="G41" s="0">
        <v>132</v>
      </c>
      <c r="H41" s="0">
        <v>180.934551</v>
      </c>
      <c r="I41" s="0">
        <v>119.679602</v>
      </c>
      <c r="J41" s="0">
        <v>110.315301</v>
      </c>
      <c r="K41" s="0">
        <v>127.441481</v>
      </c>
      <c r="L41" s="0">
        <v>60</v>
      </c>
      <c r="M41" s="0">
        <v>923.283315</v>
      </c>
      <c r="N41" s="0">
        <v>60</v>
      </c>
      <c r="O41" s="0">
        <v>43.336329</v>
      </c>
      <c r="P41" s="0">
        <v>599.725895</v>
      </c>
      <c r="Q41" s="0">
        <v>3.665249</v>
      </c>
      <c r="R41" s="0">
        <v>2.7735</v>
      </c>
      <c r="S41" s="0">
        <v>1.3205</v>
      </c>
      <c r="T41" s="0">
        <v>5.1135</v>
      </c>
      <c r="U41" s="0">
        <v>3.859796</v>
      </c>
      <c r="V41" s="0">
        <v>25278.683657</v>
      </c>
      <c r="W41" s="0">
        <v>22679.928132</v>
      </c>
      <c r="X41" s="0">
        <v>2598.755525</v>
      </c>
      <c r="Y41" s="0">
        <v>10.280423</v>
      </c>
      <c r="Z41" s="0">
        <v>614.771504</v>
      </c>
      <c r="AA41" s="0">
        <v>99.243835</v>
      </c>
      <c r="AB41" s="0">
        <v>714.015339</v>
      </c>
      <c r="AC41" s="0">
        <v>683.734871</v>
      </c>
      <c r="AD41" s="0">
        <v>733.733179</v>
      </c>
      <c r="AE41" s="0">
        <v>167.608834</v>
      </c>
      <c r="AF41" s="0">
        <v>202.154599</v>
      </c>
      <c r="AG41" s="0">
        <v>106.859252</v>
      </c>
      <c r="AH41" s="0">
        <v>132.980818</v>
      </c>
      <c r="AI41" s="0">
        <v>100.518147</v>
      </c>
      <c r="AJ41" s="0">
        <v>122.078237</v>
      </c>
      <c r="AK41" s="0">
        <v>117.704706</v>
      </c>
      <c r="AL41" s="0">
        <v>138.163749</v>
      </c>
      <c r="AM41" s="0">
        <v>909.393709</v>
      </c>
      <c r="AN41" s="0">
        <v>940.564191</v>
      </c>
      <c r="AO41" s="0">
        <v>37.564213</v>
      </c>
      <c r="AP41" s="0">
        <v>49.572802</v>
      </c>
      <c r="AQ41" s="0">
        <v>533.104361</v>
      </c>
      <c r="AR41" s="0">
        <v>658.226498</v>
      </c>
      <c r="AS41" s="0">
        <v>24919.132047</v>
      </c>
      <c r="AT41" s="0">
        <v>25705.74832</v>
      </c>
      <c r="AU41" s="0">
        <v>22317.977436</v>
      </c>
      <c r="AV41" s="0">
        <v>23131.415364</v>
      </c>
      <c r="AW41" s="0">
        <v>2405.968265</v>
      </c>
      <c r="AX41" s="0">
        <v>2755.481822</v>
      </c>
      <c r="AY41" s="0">
        <v>9.545411</v>
      </c>
      <c r="AZ41" s="0">
        <v>10.885501</v>
      </c>
      <c r="BA41" s="0">
        <v>0.177599</v>
      </c>
      <c r="BB41" s="0">
        <v>0.224687</v>
      </c>
      <c r="BC41" s="0">
        <v>0.229967</v>
      </c>
      <c r="BD41" s="0">
        <v>0.303376</v>
      </c>
      <c r="BE41" s="0">
        <v>0.199073</v>
      </c>
      <c r="BF41" s="0">
        <v>0.250065</v>
      </c>
      <c r="BG41" s="0">
        <v>1.204177</v>
      </c>
      <c r="BH41" s="0">
        <v>1.69295</v>
      </c>
      <c r="BI41" s="0">
        <v>3.445987</v>
      </c>
      <c r="BJ41" s="0">
        <v>3.834423</v>
      </c>
      <c r="BK41" s="0">
        <v>2.5975</v>
      </c>
      <c r="BL41" s="0">
        <v>2.9135</v>
      </c>
      <c r="BM41" s="0">
        <v>1.2415</v>
      </c>
      <c r="BN41" s="0">
        <v>1.3805</v>
      </c>
      <c r="BO41" s="0">
        <v>4.7965</v>
      </c>
      <c r="BP41" s="0">
        <v>5.3655</v>
      </c>
      <c r="BQ41" s="0">
        <v>3.726631</v>
      </c>
      <c r="BR41" s="0">
        <v>4.022173</v>
      </c>
      <c r="BS41" s="0">
        <v>566.941242</v>
      </c>
      <c r="BT41" s="0">
        <v>653.109412</v>
      </c>
      <c r="BU41" s="0">
        <v>84.953712</v>
      </c>
      <c r="BV41" s="0">
        <v>114.733238</v>
      </c>
      <c r="BW41" s="0">
        <v>651.894954</v>
      </c>
      <c r="BX41" s="0">
        <v>767.84265</v>
      </c>
    </row>
    <row r="42">
      <c r="A42" s="0">
        <v>2020</v>
      </c>
      <c r="B42" s="0">
        <v>574</v>
      </c>
      <c r="C42" s="0">
        <v>556.467866</v>
      </c>
      <c r="D42" s="0">
        <v>145</v>
      </c>
      <c r="E42" s="0">
        <v>75</v>
      </c>
      <c r="F42" s="0">
        <v>90</v>
      </c>
      <c r="G42" s="0">
        <v>114</v>
      </c>
      <c r="H42" s="0">
        <v>133.852145</v>
      </c>
      <c r="I42" s="0">
        <v>86.984743</v>
      </c>
      <c r="J42" s="0">
        <v>86.001243</v>
      </c>
      <c r="K42" s="0">
        <v>106.851224</v>
      </c>
      <c r="L42" s="0">
        <v>47</v>
      </c>
      <c r="M42" s="0">
        <v>914.718374</v>
      </c>
      <c r="N42" s="0">
        <v>47</v>
      </c>
      <c r="O42" s="0">
        <v>42.28322</v>
      </c>
      <c r="P42" s="0">
        <v>485.870949</v>
      </c>
      <c r="Q42" s="0">
        <v>3.904697</v>
      </c>
      <c r="R42" s="0">
        <v>2.9615</v>
      </c>
      <c r="S42" s="0">
        <v>1.4025</v>
      </c>
      <c r="T42" s="0">
        <v>5.4565</v>
      </c>
      <c r="U42" s="0">
        <v>4.150022</v>
      </c>
      <c r="V42" s="0">
        <v>25613.5697</v>
      </c>
      <c r="W42" s="0">
        <v>23087.275434</v>
      </c>
      <c r="X42" s="0">
        <v>2526.294266</v>
      </c>
      <c r="Y42" s="0">
        <v>9.863109</v>
      </c>
      <c r="Z42" s="0">
        <v>614.196548</v>
      </c>
      <c r="AA42" s="0">
        <v>110.44602</v>
      </c>
      <c r="AB42" s="0">
        <v>724.642568</v>
      </c>
      <c r="AC42" s="0">
        <v>532.438432</v>
      </c>
      <c r="AD42" s="0">
        <v>586.916937</v>
      </c>
      <c r="AE42" s="0">
        <v>117.454731</v>
      </c>
      <c r="AF42" s="0">
        <v>150.604209</v>
      </c>
      <c r="AG42" s="0">
        <v>76.316969</v>
      </c>
      <c r="AH42" s="0">
        <v>100.551931</v>
      </c>
      <c r="AI42" s="0">
        <v>73.769687</v>
      </c>
      <c r="AJ42" s="0">
        <v>98.130993</v>
      </c>
      <c r="AK42" s="0">
        <v>93.375289</v>
      </c>
      <c r="AL42" s="0">
        <v>120.244283</v>
      </c>
      <c r="AM42" s="0">
        <v>898.923772</v>
      </c>
      <c r="AN42" s="0">
        <v>932.480134</v>
      </c>
      <c r="AO42" s="0">
        <v>37.025402</v>
      </c>
      <c r="AP42" s="0">
        <v>47.538564</v>
      </c>
      <c r="AQ42" s="0">
        <v>404.078286</v>
      </c>
      <c r="AR42" s="0">
        <v>555.703106</v>
      </c>
      <c r="AS42" s="0">
        <v>25235.390375</v>
      </c>
      <c r="AT42" s="0">
        <v>26053.027265</v>
      </c>
      <c r="AU42" s="0">
        <v>22717.438528</v>
      </c>
      <c r="AV42" s="0">
        <v>23527.272841</v>
      </c>
      <c r="AW42" s="0">
        <v>2295.699798</v>
      </c>
      <c r="AX42" s="0">
        <v>2741.21789</v>
      </c>
      <c r="AY42" s="0">
        <v>8.997582</v>
      </c>
      <c r="AZ42" s="0">
        <v>10.608375</v>
      </c>
      <c r="BA42" s="0">
        <v>0.15179</v>
      </c>
      <c r="BB42" s="0">
        <v>0.209418</v>
      </c>
      <c r="BC42" s="0">
        <v>0.200417</v>
      </c>
      <c r="BD42" s="0">
        <v>0.292924</v>
      </c>
      <c r="BE42" s="0">
        <v>0.175643</v>
      </c>
      <c r="BF42" s="0">
        <v>0.238828</v>
      </c>
      <c r="BG42" s="0">
        <v>1.262339</v>
      </c>
      <c r="BH42" s="0">
        <v>1.832181</v>
      </c>
      <c r="BI42" s="0">
        <v>3.650522</v>
      </c>
      <c r="BJ42" s="0">
        <v>4.151846</v>
      </c>
      <c r="BK42" s="0">
        <v>2.7445</v>
      </c>
      <c r="BL42" s="0">
        <v>3.1675</v>
      </c>
      <c r="BM42" s="0">
        <v>1.3015</v>
      </c>
      <c r="BN42" s="0">
        <v>1.4975</v>
      </c>
      <c r="BO42" s="0">
        <v>5.0875</v>
      </c>
      <c r="BP42" s="0">
        <v>5.8185</v>
      </c>
      <c r="BQ42" s="0">
        <v>4.012459</v>
      </c>
      <c r="BR42" s="0">
        <v>4.343019</v>
      </c>
      <c r="BS42" s="0">
        <v>563.406541</v>
      </c>
      <c r="BT42" s="0">
        <v>661.220426</v>
      </c>
      <c r="BU42" s="0">
        <v>94.489958</v>
      </c>
      <c r="BV42" s="0">
        <v>125.727755</v>
      </c>
      <c r="BW42" s="0">
        <v>657.896499</v>
      </c>
      <c r="BX42" s="0">
        <v>786.948181</v>
      </c>
    </row>
    <row r="43">
      <c r="A43" s="0">
        <v>2021</v>
      </c>
      <c r="B43" s="0">
        <v>512</v>
      </c>
      <c r="C43" s="0">
        <v>487.594321</v>
      </c>
      <c r="D43" s="0">
        <v>101</v>
      </c>
      <c r="E43" s="0">
        <v>79</v>
      </c>
      <c r="F43" s="0">
        <v>76</v>
      </c>
      <c r="G43" s="0">
        <v>110</v>
      </c>
      <c r="H43" s="0">
        <v>107.989619</v>
      </c>
      <c r="I43" s="0">
        <v>70.869106</v>
      </c>
      <c r="J43" s="0">
        <v>76.663868</v>
      </c>
      <c r="K43" s="0">
        <v>99.967647</v>
      </c>
      <c r="L43" s="0">
        <v>60</v>
      </c>
      <c r="M43" s="0">
        <v>899.236381</v>
      </c>
      <c r="N43" s="0">
        <v>60</v>
      </c>
      <c r="O43" s="0">
        <v>48.573587</v>
      </c>
      <c r="P43" s="0">
        <v>361.200866</v>
      </c>
      <c r="Q43" s="0">
        <v>5.13284</v>
      </c>
      <c r="R43" s="0">
        <v>4.0245</v>
      </c>
      <c r="S43" s="0">
        <v>1.9185</v>
      </c>
      <c r="T43" s="0">
        <v>7.2565</v>
      </c>
      <c r="U43" s="0">
        <v>4.491199</v>
      </c>
      <c r="V43" s="0">
        <v>25721.818909</v>
      </c>
      <c r="W43" s="0">
        <v>23324.059792</v>
      </c>
      <c r="X43" s="0">
        <v>2397.759117</v>
      </c>
      <c r="Y43" s="0">
        <v>9.321888</v>
      </c>
      <c r="Z43" s="0">
        <v>603.831655</v>
      </c>
      <c r="AA43" s="0">
        <v>120.655716</v>
      </c>
      <c r="AB43" s="0">
        <v>724.48737099999994</v>
      </c>
      <c r="AC43" s="0">
        <v>460.318667</v>
      </c>
      <c r="AD43" s="0">
        <v>518.255426</v>
      </c>
      <c r="AE43" s="0">
        <v>87.316903</v>
      </c>
      <c r="AF43" s="0">
        <v>119.933921</v>
      </c>
      <c r="AG43" s="0">
        <v>57.513404</v>
      </c>
      <c r="AH43" s="0">
        <v>87.017729</v>
      </c>
      <c r="AI43" s="0">
        <v>63.583469</v>
      </c>
      <c r="AJ43" s="0">
        <v>88.629215</v>
      </c>
      <c r="AK43" s="0">
        <v>89.336395</v>
      </c>
      <c r="AL43" s="0">
        <v>114.037769</v>
      </c>
      <c r="AM43" s="0">
        <v>881.971824</v>
      </c>
      <c r="AN43" s="0">
        <v>917.063737</v>
      </c>
      <c r="AO43" s="0">
        <v>40.098689</v>
      </c>
      <c r="AP43" s="0">
        <v>55.968371</v>
      </c>
      <c r="AQ43" s="0">
        <v>262.204901</v>
      </c>
      <c r="AR43" s="0">
        <v>443.334131</v>
      </c>
      <c r="AS43" s="0">
        <v>25335.021053</v>
      </c>
      <c r="AT43" s="0">
        <v>26159.894242</v>
      </c>
      <c r="AU43" s="0">
        <v>22941.971727</v>
      </c>
      <c r="AV43" s="0">
        <v>23755.714228</v>
      </c>
      <c r="AW43" s="0">
        <v>2083.114489</v>
      </c>
      <c r="AX43" s="0">
        <v>2702.665157</v>
      </c>
      <c r="AY43" s="0">
        <v>8.106298</v>
      </c>
      <c r="AZ43" s="0">
        <v>10.466917</v>
      </c>
      <c r="BA43" s="0">
        <v>0.077704</v>
      </c>
      <c r="BB43" s="0">
        <v>0.15075</v>
      </c>
      <c r="BC43" s="0">
        <v>0.09137</v>
      </c>
      <c r="BD43" s="0">
        <v>0.203378</v>
      </c>
      <c r="BE43" s="0">
        <v>0.09638</v>
      </c>
      <c r="BF43" s="0">
        <v>0.184895</v>
      </c>
      <c r="BG43" s="0">
        <v>0.687234</v>
      </c>
      <c r="BH43" s="0">
        <v>1.37986</v>
      </c>
      <c r="BI43" s="0">
        <v>4.629464</v>
      </c>
      <c r="BJ43" s="0">
        <v>5.700211</v>
      </c>
      <c r="BK43" s="0">
        <v>3.5965</v>
      </c>
      <c r="BL43" s="0">
        <v>4.5365</v>
      </c>
      <c r="BM43" s="0">
        <v>1.7095</v>
      </c>
      <c r="BN43" s="0">
        <v>2.1815</v>
      </c>
      <c r="BO43" s="0">
        <v>6.5365</v>
      </c>
      <c r="BP43" s="0">
        <v>8.0825</v>
      </c>
      <c r="BQ43" s="0">
        <v>4.335308</v>
      </c>
      <c r="BR43" s="0">
        <v>4.723354</v>
      </c>
      <c r="BS43" s="0">
        <v>534.343521</v>
      </c>
      <c r="BT43" s="0">
        <v>682.903787</v>
      </c>
      <c r="BU43" s="0">
        <v>96.828584</v>
      </c>
      <c r="BV43" s="0">
        <v>144.419036</v>
      </c>
      <c r="BW43" s="0">
        <v>631.172105</v>
      </c>
      <c r="BX43" s="0">
        <v>827.322823</v>
      </c>
    </row>
    <row r="44">
      <c r="A44" s="0">
        <v>2022</v>
      </c>
      <c r="B44" s="0">
        <v>515</v>
      </c>
      <c r="C44" s="0">
        <v>519.072799</v>
      </c>
      <c r="D44" s="0">
        <v>116</v>
      </c>
      <c r="E44" s="0">
        <v>79</v>
      </c>
      <c r="F44" s="0">
        <v>91</v>
      </c>
      <c r="G44" s="0">
        <v>104</v>
      </c>
      <c r="H44" s="0">
        <v>113.494921</v>
      </c>
      <c r="I44" s="0">
        <v>82.841476</v>
      </c>
      <c r="J44" s="0">
        <v>90.72507</v>
      </c>
      <c r="K44" s="0">
        <v>106.837029</v>
      </c>
      <c r="L44" s="0">
        <v>50</v>
      </c>
      <c r="M44" s="0">
        <v>877.088218</v>
      </c>
      <c r="N44" s="0">
        <v>50</v>
      </c>
      <c r="O44" s="0">
        <v>49.424593</v>
      </c>
      <c r="P44" s="0">
        <v>225.980457</v>
      </c>
      <c r="Q44" s="0">
        <v>4.687086</v>
      </c>
      <c r="R44" s="0">
        <v>3.6305</v>
      </c>
      <c r="S44" s="0">
        <v>1.7275</v>
      </c>
      <c r="T44" s="0">
        <v>6.5995</v>
      </c>
      <c r="U44" s="0">
        <v>4.931077</v>
      </c>
      <c r="V44" s="0">
        <v>25727.46631</v>
      </c>
      <c r="W44" s="0">
        <v>23624.978752</v>
      </c>
      <c r="X44" s="0">
        <v>2102.487557</v>
      </c>
      <c r="Y44" s="0">
        <v>8.172152</v>
      </c>
      <c r="Z44" s="0">
        <v>552.339552</v>
      </c>
      <c r="AA44" s="0">
        <v>113.864601</v>
      </c>
      <c r="AB44" s="0">
        <v>666.204153</v>
      </c>
      <c r="AC44" s="0">
        <v>477.501927</v>
      </c>
      <c r="AD44" s="0">
        <v>557.598042</v>
      </c>
      <c r="AE44" s="0">
        <v>90.648159</v>
      </c>
      <c r="AF44" s="0">
        <v>136.12692</v>
      </c>
      <c r="AG44" s="0">
        <v>63.569211</v>
      </c>
      <c r="AH44" s="0">
        <v>95.827684</v>
      </c>
      <c r="AI44" s="0">
        <v>71.181732</v>
      </c>
      <c r="AJ44" s="0">
        <v>110.30719</v>
      </c>
      <c r="AK44" s="0">
        <v>89.598219</v>
      </c>
      <c r="AL44" s="0">
        <v>126.668789</v>
      </c>
      <c r="AM44" s="0">
        <v>859.524714</v>
      </c>
      <c r="AN44" s="0">
        <v>897.293086</v>
      </c>
      <c r="AO44" s="0">
        <v>39.063542</v>
      </c>
      <c r="AP44" s="0">
        <v>59.983886</v>
      </c>
      <c r="AQ44" s="0">
        <v>107.644559</v>
      </c>
      <c r="AR44" s="0">
        <v>321.394811</v>
      </c>
      <c r="AS44" s="0">
        <v>25250.209435</v>
      </c>
      <c r="AT44" s="0">
        <v>26232.742519</v>
      </c>
      <c r="AU44" s="0">
        <v>23238.447608</v>
      </c>
      <c r="AV44" s="0">
        <v>24045.221764</v>
      </c>
      <c r="AW44" s="0">
        <v>1683.004998</v>
      </c>
      <c r="AX44" s="0">
        <v>2497.754983</v>
      </c>
      <c r="AY44" s="0">
        <v>6.589321</v>
      </c>
      <c r="AZ44" s="0">
        <v>9.519197</v>
      </c>
      <c r="BA44" s="0">
        <v>0.103761</v>
      </c>
      <c r="BB44" s="0">
        <v>0.162007</v>
      </c>
      <c r="BC44" s="0">
        <v>0.140562</v>
      </c>
      <c r="BD44" s="0">
        <v>0.216583</v>
      </c>
      <c r="BE44" s="0">
        <v>0.142884</v>
      </c>
      <c r="BF44" s="0">
        <v>0.213158</v>
      </c>
      <c r="BG44" s="0">
        <v>0.874028</v>
      </c>
      <c r="BH44" s="0">
        <v>1.366051</v>
      </c>
      <c r="BI44" s="0">
        <v>4.26969</v>
      </c>
      <c r="BJ44" s="0">
        <v>5.165631</v>
      </c>
      <c r="BK44" s="0">
        <v>3.2785</v>
      </c>
      <c r="BL44" s="0">
        <v>4.0235</v>
      </c>
      <c r="BM44" s="0">
        <v>1.5585</v>
      </c>
      <c r="BN44" s="0">
        <v>1.9195</v>
      </c>
      <c r="BO44" s="0">
        <v>5.9925</v>
      </c>
      <c r="BP44" s="0">
        <v>7.2795</v>
      </c>
      <c r="BQ44" s="0">
        <v>4.722723</v>
      </c>
      <c r="BR44" s="0">
        <v>5.251174</v>
      </c>
      <c r="BS44" s="0">
        <v>449.800118</v>
      </c>
      <c r="BT44" s="0">
        <v>643.937341</v>
      </c>
      <c r="BU44" s="0">
        <v>84.308867</v>
      </c>
      <c r="BV44" s="0">
        <v>148.173812</v>
      </c>
      <c r="BW44" s="0">
        <v>534.108985</v>
      </c>
      <c r="BX44" s="0">
        <v>792.111153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59999389629810485"/>
  </sheetPr>
  <dimension ref="A1:B2"/>
  <sheetViews>
    <sheetView workbookViewId="0"/>
  </sheetViews>
  <sheetFormatPr defaultRowHeight="15" x14ac:dyDescent="0.25"/>
  <sheetData>
    <row r="1">
      <c r="A1" s="0" t="s">
        <v>98</v>
      </c>
      <c r="B1" s="0" t="s">
        <v>99</v>
      </c>
    </row>
    <row r="2">
      <c r="A2" s="0" t="s">
        <v>100</v>
      </c>
      <c r="B2" s="0" t="s">
        <v>101</v>
      </c>
    </row>
  </sheetData>
  <pageMargins left="0.7" right="0.7" top="0.75" bottom="0.75" header="0.3" footer="0.3"/>
  <headerFooter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2705bbd-d6e6-412c-a7e2-7411e947c69b" xsi:nil="true"/>
    <lcf76f155ced4ddcb4097134ff3c332f xmlns="e2d22f42-674e-4fc3-9806-bf5045c6d197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7EE9C3B32F24C997F08FEDABFE4D4" ma:contentTypeVersion="17" ma:contentTypeDescription="Create a new document." ma:contentTypeScope="" ma:versionID="d62851ee79ce09952123a0bf70c731b9">
  <xsd:schema xmlns:xsd="http://www.w3.org/2001/XMLSchema" xmlns:xs="http://www.w3.org/2001/XMLSchema" xmlns:p="http://schemas.microsoft.com/office/2006/metadata/properties" xmlns:ns2="e2d22f42-674e-4fc3-9806-bf5045c6d197" xmlns:ns3="32705bbd-d6e6-412c-a7e2-7411e947c69b" targetNamespace="http://schemas.microsoft.com/office/2006/metadata/properties" ma:root="true" ma:fieldsID="905449c4b9e327aa3f566e7062bc0b7f" ns2:_="" ns3:_="">
    <xsd:import namespace="e2d22f42-674e-4fc3-9806-bf5045c6d197"/>
    <xsd:import namespace="32705bbd-d6e6-412c-a7e2-7411e947c6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d22f42-674e-4fc3-9806-bf5045c6d1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b026aac-6b52-4d7e-a64d-f3ee90946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05bbd-d6e6-412c-a7e2-7411e947c69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f8df80c-4e71-40a5-8a02-2342c67459ba}" ma:internalName="TaxCatchAll" ma:showField="CatchAllData" ma:web="32705bbd-d6e6-412c-a7e2-7411e947c6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3507EE3-ECE9-4BF2-9661-D41A4ABE3EB4}">
  <ds:schemaRefs>
    <ds:schemaRef ds:uri="http://schemas.microsoft.com/office/2006/metadata/properties"/>
    <ds:schemaRef ds:uri="http://schemas.microsoft.com/office/infopath/2007/PartnerControls"/>
    <ds:schemaRef ds:uri="32705bbd-d6e6-412c-a7e2-7411e947c69b"/>
    <ds:schemaRef ds:uri="e2d22f42-674e-4fc3-9806-bf5045c6d197"/>
  </ds:schemaRefs>
</ds:datastoreItem>
</file>

<file path=customXml/itemProps2.xml><?xml version="1.0" encoding="utf-8"?>
<ds:datastoreItem xmlns:ds="http://schemas.openxmlformats.org/officeDocument/2006/customXml" ds:itemID="{CBF374FC-E54C-4224-ACAA-8269C33EA6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B2B19B-03D6-4235-8CEF-AF084E5DF1F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GOODNESS OF FIT</vt:lpstr>
      <vt:lpstr>CHARTS</vt:lpstr>
      <vt:lpstr>DATA</vt:lpstr>
      <vt:lpstr>META INFO</vt:lpstr>
      <vt:lpstr>rngData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Richard Gray</cp:lastModifiedBy>
  <cp:lastPrinted>2015-09-04T19:12:25Z</cp:lastPrinted>
  <dcterms:created xsi:type="dcterms:W3CDTF">2006-09-16T00:00:00Z</dcterms:created>
  <dcterms:modified xsi:type="dcterms:W3CDTF">2023-11-12T07:31:15Z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0x010100DE67EE9C3B32F24C997F08FEDABFE4D4</vt:lpwstr>
  </property>
  <property fmtid="{D5CDD505-2E9C-101B-9397-08002B2CF9AE}" pid="3" name="MediaServiceImageTags">
    <vt:lpwstr/>
  </property>
</Properties>
</file>