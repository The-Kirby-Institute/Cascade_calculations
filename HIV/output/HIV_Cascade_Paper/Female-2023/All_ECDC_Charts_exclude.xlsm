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4.xml"/>
  <Override ContentType="application/vnd.ms-office.chartcolorstyle+xml" PartName="/xl/charts/colors10.xml"/>
  <Override ContentType="application/vnd.openxmlformats-officedocument.drawingml.chart+xml" PartName="/xl/charts/chart11.xml"/>
  <Override ContentType="application/vnd.ms-office.chartstyle+xml" PartName="/xl/charts/style11.xml"/>
  <Override ContentType="application/vnd.ms-office.chartcolorstyle+xml" PartName="/xl/charts/colors11.xml"/>
  <Override ContentType="application/vnd.ms-office.vbaProject" PartName="/xl/vbaProject.bin"/>
  <Override ContentType="application/vnd.openxmlformats-officedocument.spreadsheetml.worksheet+xml" PartName="/xl/worksheets/sheet3.xml"/>
  <Override ContentType="application/vnd.ms-office.chartstyle+xml" PartName="/xl/charts/style10.xml"/>
  <Override ContentType="application/vnd.openxmlformats-officedocument.drawingml.chart+xml" PartName="/xl/charts/chart10.xml"/>
  <Override ContentType="application/vnd.ms-office.chartcolorstyle+xml" PartName="/xl/charts/colors9.xml"/>
  <Override ContentType="application/vnd.openxmlformats-officedocument.drawing+xml" PartName="/xl/drawings/drawing2.xml"/>
  <Override ContentType="application/vnd.openxmlformats-officedocument.drawingml.chart+xml" PartName="/xl/charts/chart8.xml"/>
  <Override ContentType="application/vnd.ms-office.chartstyle+xml" PartName="/xl/charts/style8.xml"/>
  <Override ContentType="application/vnd.ms-office.chartcolorstyle+xml" PartName="/xl/charts/colors8.xml"/>
  <Override ContentType="application/vnd.openxmlformats-officedocument.drawingml.chart+xml" PartName="/xl/charts/chart9.xml"/>
  <Override ContentType="application/vnd.ms-office.chartstyle+xml" PartName="/xl/charts/style9.xml"/>
  <Override ContentType="application/vnd.openxmlformats-officedocument.spreadsheetml.worksheet+xml" PartName="/xl/worksheets/sheet2.xml"/>
  <Override ContentType="application/vnd.ms-office.chartcolorstyle+xml" PartName="/xl/charts/colors7.xml"/>
  <Override ContentType="application/vnd.openxmlformats-officedocument.spreadsheetml.worksheet+xml" PartName="/xl/worksheets/sheet1.xml"/>
  <Override ContentType="application/vnd.openxmlformats-officedocument.drawingml.chart+xml" PartName="/xl/charts/chart7.xml"/>
  <Override ContentType="application/vnd.openxmlformats-officedocument.drawingml.chart+xml" PartName="/xl/charts/chart2.xml"/>
  <Override ContentType="application/vnd.ms-office.chartstyle+xml" PartName="/xl/charts/style7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office.chartcolorstyle+xml" PartName="/xl/charts/colors3.xml"/>
  <Override ContentType="application/vnd.ms-office.chartstyle+xml" PartName="/xl/charts/style2.xml"/>
  <Override ContentType="application/vnd.ms-office.chartstyle+xml" PartName="/xl/charts/style4.xml"/>
  <Override ContentType="application/vnd.ms-office.chartcolorstyle+xml" PartName="/xl/charts/colors6.xml"/>
  <Override ContentType="application/vnd.ms-office.chartstyle+xml" PartName="/xl/charts/style6.xml"/>
  <Override ContentType="application/vnd.openxmlformats-officedocument.drawingml.chart+xml" PartName="/xl/charts/chart6.xml"/>
  <Override ContentType="application/vnd.ms-office.chartcolorstyle+xml" PartName="/xl/charts/colors5.xml"/>
  <Override ContentType="application/vnd.openxmlformats-officedocument.drawingml.chart+xml" PartName="/xl/charts/chart4.xml"/>
  <Override ContentType="application/vnd.ms-office.chartstyle+xml" PartName="/xl/charts/style5.xml"/>
  <Override ContentType="application/vnd.ms-office.chartcolorstyle+xml" PartName="/xl/charts/colors4.xml"/>
  <Override ContentType="application/vnd.openxmlformats-officedocument.drawingml.chart+xml" PartName="/xl/charts/chart5.xml"/>
  <Override ContentType="application/vnd.openxmlformats-package.core-properties+xml" PartName="/docProps/core.xml"/>
  <Override ContentType="application/vnd.ms-excel.controlproperties+xml" PartName="/xl/ctrlProps/ctrlProp1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extended-properties+xml" PartName="/docProps/app.xml"/>
  <Override ContentType="application/vnd.openxmlformats-officedocument.spreadsheetml.sharedStrings+xml" PartName="/xl/sharedStrings.xml"/>
  <Override ContentType="application/vnd.openxmlformats-officedocument.spreadsheetml.table+xml" PartName="/xl/tables/table11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5.xml"/>
  <Override ContentType="application/vnd.openxmlformats-officedocument.spreadsheetml.table+xml" PartName="/xl/tables/table2.xml"/>
  <Override ContentType="application/vnd.openxmlformats-officedocument.customXmlProperties+xml" PartName="/customXml/itemProps2.xml"/>
  <Override ContentType="application/vnd.openxmlformats-officedocument.customXmlProperties+xml" PartName="/customXml/itemProps1.xml"/>
  <Override ContentType="application/vnd.openxmlformats-officedocument.customXmlProperties+xml" PartName="/customXml/itemProps3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REPOSITORIES\hiv\HivModellingGui\Templates\"/>
    </mc:Choice>
  </mc:AlternateContent>
  <bookViews>
    <workbookView xWindow="240" yWindow="105" windowWidth="14805" windowHeight="8010"/>
  </bookViews>
  <sheets>
    <sheet name="GOODNESS OF FIT" sheetId="2" r:id="rId1"/>
    <sheet name="CHARTS" sheetId="15" r:id="rId2"/>
    <sheet name="DATA" sheetId="14" r:id="rId3"/>
    <sheet name="META INFO" sheetId="16" r:id="rId4"/>
  </sheets>
  <definedNames>
    <definedName name="rngColumnNames">INDEX(rngData,1,0)</definedName>
    <definedName name="rngData">'DATA'!$A$1:$CC$100</definedName>
    <definedName name="rngYear">INDEX(rngData,0,1)</definedName>
  </definedNames>
  <calcPr calcId="152511" forceFullCalc="1" fullCalcOnLoad="1"/>
</workbook>
</file>

<file path=xl/sharedStrings.xml><?xml version="1.0" encoding="utf-8"?>
<sst xmlns="http://schemas.openxmlformats.org/spreadsheetml/2006/main" count="102" uniqueCount="102">
  <si>
    <t>Tool version</t>
  </si>
  <si>
    <t>ECDC HIV Modelling Tool v.1.3.0</t>
  </si>
  <si>
    <t>Exported on</t>
  </si>
  <si>
    <t>2024/10/01 12:17:44</t>
  </si>
  <si>
    <t>year</t>
  </si>
  <si>
    <t>N_HIV_D</t>
  </si>
  <si>
    <t>N_HIV_Obs_M</t>
  </si>
  <si>
    <t>N_CD4_1_D</t>
  </si>
  <si>
    <t>N_CD4_2_D</t>
  </si>
  <si>
    <t>N_CD4_3_D</t>
  </si>
  <si>
    <t>N_CD4_4_D</t>
  </si>
  <si>
    <t>N_CD4_1_Obs_M</t>
  </si>
  <si>
    <t>N_CD4_2_Obs_M</t>
  </si>
  <si>
    <t>N_CD4_3_Obs_M</t>
  </si>
  <si>
    <t>N_CD4_4_Obs_M</t>
  </si>
  <si>
    <t>N_AIDS_D</t>
  </si>
  <si>
    <t>N_AIDS_M</t>
  </si>
  <si>
    <t>N_HIVAIDS_D</t>
  </si>
  <si>
    <t>N_HIVAIDS_Obs_M</t>
  </si>
  <si>
    <t>N_Inf_M</t>
  </si>
  <si>
    <t>t_diag</t>
  </si>
  <si>
    <t>t_diag_p50</t>
  </si>
  <si>
    <t>t_diag_p25</t>
  </si>
  <si>
    <t>t_diag_p75</t>
  </si>
  <si>
    <t>D_Avg_Time</t>
  </si>
  <si>
    <t>N_Alive</t>
  </si>
  <si>
    <t>N_Alive_Diag_M</t>
  </si>
  <si>
    <t>N_Und</t>
  </si>
  <si>
    <t>N_Und_Alive_p</t>
  </si>
  <si>
    <t>N_Und_CD4_3_M</t>
  </si>
  <si>
    <t>N_Und_CD4_4_M</t>
  </si>
  <si>
    <t>N_Und_CD4_3p4_M</t>
  </si>
  <si>
    <t>N_HIV_Obs_M_LB</t>
  </si>
  <si>
    <t>N_HIV_Obs_M_UB</t>
  </si>
  <si>
    <t>N_CD4_1_Obs_M_LB</t>
  </si>
  <si>
    <t>N_CD4_1_Obs_M_UB</t>
  </si>
  <si>
    <t>N_CD4_2_Obs_M_LB</t>
  </si>
  <si>
    <t>N_CD4_2_Obs_M_UB</t>
  </si>
  <si>
    <t>N_CD4_3_Obs_M_LB</t>
  </si>
  <si>
    <t>N_CD4_3_Obs_M_UB</t>
  </si>
  <si>
    <t>N_CD4_4_Obs_M_LB</t>
  </si>
  <si>
    <t>N_CD4_4_Obs_M_UB</t>
  </si>
  <si>
    <t>N_AIDS_M_LB</t>
  </si>
  <si>
    <t>N_AIDS_M_UB</t>
  </si>
  <si>
    <t>N_HIVAIDS_Obs_M_LB</t>
  </si>
  <si>
    <t>N_HIVAIDS_Obs_M_UB</t>
  </si>
  <si>
    <t>N_Inf_M_LB</t>
  </si>
  <si>
    <t>N_Inf_M_UB</t>
  </si>
  <si>
    <t>N_Alive_LB</t>
  </si>
  <si>
    <t>N_Alive_UB</t>
  </si>
  <si>
    <t>N_Alive_Diag_M_LB</t>
  </si>
  <si>
    <t>N_Alive_Diag_M_UB</t>
  </si>
  <si>
    <t>N_Und_LB</t>
  </si>
  <si>
    <t>N_Und_UB</t>
  </si>
  <si>
    <t>N_Und_Alive_p_LB</t>
  </si>
  <si>
    <t>N_Und_Alive_p_UB</t>
  </si>
  <si>
    <t>delta1_LB</t>
  </si>
  <si>
    <t>delta1_UB</t>
  </si>
  <si>
    <t>delta2_LB</t>
  </si>
  <si>
    <t>delta2_UB</t>
  </si>
  <si>
    <t>delta3_LB</t>
  </si>
  <si>
    <t>delta3_UB</t>
  </si>
  <si>
    <t>delta4_LB</t>
  </si>
  <si>
    <t>delta4_UB</t>
  </si>
  <si>
    <t>t_diag_LB</t>
  </si>
  <si>
    <t>t_diag_UB</t>
  </si>
  <si>
    <t>t_diag_p50_LB</t>
  </si>
  <si>
    <t>t_diag_p50_UB</t>
  </si>
  <si>
    <t>t_diag_p25_LB</t>
  </si>
  <si>
    <t>t_diag_p25_UB</t>
  </si>
  <si>
    <t>t_diag_p75_LB</t>
  </si>
  <si>
    <t>t_diag_p75_UB</t>
  </si>
  <si>
    <t>D_Avg_Time_LB</t>
  </si>
  <si>
    <t>D_Avg_Time_UB</t>
  </si>
  <si>
    <t>N_Und_CD4_3_M_LB</t>
  </si>
  <si>
    <t>N_Und_CD4_3_M_UB</t>
  </si>
  <si>
    <t>N_Und_CD4_4_M_LB</t>
  </si>
  <si>
    <t>N_Und_CD4_4_M_UB</t>
  </si>
  <si>
    <t>N_Und_CD4_3p4_M_LB</t>
  </si>
  <si>
    <t>N_Und_CD4_3p4_M_UB</t>
  </si>
  <si>
    <t>A. HIV infections per year</t>
  </si>
  <si>
    <t>Mean</t>
  </si>
  <si>
    <t>Min-max</t>
  </si>
  <si>
    <t>Idx</t>
  </si>
  <si>
    <t>B. Time to diagnosis</t>
  </si>
  <si>
    <t>C. Total number of HIV-infected</t>
  </si>
  <si>
    <t>Diagnosed Mean</t>
  </si>
  <si>
    <t>Diagnosed Min-max</t>
  </si>
  <si>
    <t>Undiagnosed Mean</t>
  </si>
  <si>
    <t>Undiagnosed Min-max</t>
  </si>
  <si>
    <t>Alive Min-max</t>
  </si>
  <si>
    <t>Diag Min-max</t>
  </si>
  <si>
    <t>Undiag Min-max</t>
  </si>
  <si>
    <t>D. Proportion undiagnosed of all those alive</t>
  </si>
  <si>
    <t>A. HIV diagnoses, total</t>
  </si>
  <si>
    <t>Data</t>
  </si>
  <si>
    <t>B. HIV diagnoses, CD4 &gt;= 500</t>
  </si>
  <si>
    <t>C. HIV diagnoses, CD4 350 - 499</t>
  </si>
  <si>
    <t>D. HIV diagnoses, CD4 200 - 349</t>
  </si>
  <si>
    <t>E. HIV diagnoses, CD4 &lt; 200</t>
  </si>
  <si>
    <t>F. HIV/AIDS diagnoses</t>
  </si>
  <si>
    <t>G. AIDS diagnoses,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</si>
</sst>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9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15"/>
      <color theme="0" tint="-0.34998626667073579"/>
      <name val="Calibri"/>
      <family val="2"/>
    </font>
    <font>
      <b/>
      <sz val="15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6"/>
      </patternFill>
    </fill>
    <fill>
      <patternFill patternType="solid">
        <fgColor rgb="FF7BBCC0"/>
        <bgColor theme="6"/>
      </patternFill>
    </fill>
    <fill>
      <patternFill patternType="solid">
        <fgColor rgb="FF9D8B56"/>
        <bgColor theme="6"/>
      </patternFill>
    </fill>
    <fill>
      <patternFill patternType="solid">
        <fgColor rgb="FF69B023"/>
        <bgColor theme="6"/>
      </patternFill>
    </fill>
    <fill>
      <patternFill patternType="none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6">
    <xf numFmtId="0" applyNumberFormat="1" fontId="0" applyFont="1" fillId="0" applyFill="1" borderId="0" applyBorder="1" xfId="0"/>
    <xf numFmtId="0" applyNumberFormat="1" fontId="1" applyFont="1" fillId="2" applyFill="1" borderId="0" applyBorder="1" xfId="0"/>
    <xf numFmtId="0" applyNumberFormat="1" fontId="7" applyFont="1" fillId="2" applyFill="1" borderId="0" applyBorder="1" xfId="0">
      <alignment horizontal="left"/>
    </xf>
    <xf numFmtId="0" applyNumberFormat="1" fontId="1" applyFont="1" fillId="2" applyFill="1" borderId="0" applyBorder="1" xfId="0">
      <alignment horizontal="left"/>
    </xf>
    <xf numFmtId="0" applyNumberFormat="1" fontId="3" applyFont="1" fillId="3" applyFill="1" borderId="1" applyBorder="1" xfId="0">
      <alignment horizontal="center" vertical="center" wrapText="1"/>
    </xf>
    <xf numFmtId="0" applyNumberFormat="1" fontId="3" applyFont="1" fillId="6" applyFill="1" borderId="1" applyBorder="1" xfId="0">
      <alignment horizontal="center" vertical="center" wrapText="1"/>
    </xf>
    <xf numFmtId="0" applyNumberFormat="1" fontId="5" applyFont="1" fillId="2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right" vertical="center" wrapText="1" indent="2"/>
    </xf>
    <xf numFmtId="4" applyNumberFormat="1" fontId="2" applyFont="1" fillId="7" applyFill="1" borderId="0" applyBorder="1" xfId="0">
      <alignment horizontal="right" vertical="center" wrapText="1" indent="2"/>
    </xf>
    <xf numFmtId="0" applyNumberFormat="1" fontId="4" applyFont="1" fillId="2" applyFill="1" borderId="0" applyBorder="1" xfId="0"/>
    <xf numFmtId="0" applyNumberFormat="1" fontId="1" applyFont="1" fillId="7" applyFill="1" borderId="0" applyBorder="1" xfId="0"/>
    <xf numFmtId="4" applyNumberFormat="1" fontId="1" applyFont="1" fillId="7" applyFill="1" borderId="0" applyBorder="1" xfId="0"/>
    <xf numFmtId="4" applyNumberFormat="1" fontId="1" applyFont="1" fillId="2" applyFill="1" borderId="0" applyBorder="1" xfId="0"/>
    <xf numFmtId="0" applyNumberFormat="1" fontId="3" applyFont="1" fillId="5" applyFill="1" borderId="1" applyBorder="1" xfId="0">
      <alignment horizontal="center" vertical="center" wrapText="1"/>
    </xf>
    <xf numFmtId="0" applyNumberFormat="1" fontId="3" applyFont="1" fillId="4" applyFill="1" borderId="1" applyBorder="1" xfId="0">
      <alignment horizontal="center" vertical="center" wrapText="1"/>
    </xf>
    <xf numFmtId="4" applyNumberFormat="1" fontId="6" applyFont="1" fillId="7" applyFill="1" borderId="0" applyBorder="1" xfId="0"/>
    <xf numFmtId="0" applyNumberFormat="1" fontId="8" applyFont="1" fillId="2" applyFill="1" borderId="0" applyBorder="1" xfId="0">
      <alignment horizontal="left"/>
    </xf>
    <xf numFmtId="0" applyNumberFormat="1" fontId="3" applyFont="1" fillId="6" applyFill="1" borderId="3" applyBorder="1" xfId="0">
      <alignment horizontal="center" vertical="center" wrapText="1"/>
    </xf>
    <xf numFmtId="0" applyNumberFormat="1" fontId="3" applyFont="1" fillId="6" applyFill="1" borderId="4" applyBorder="1" xfId="0">
      <alignment horizontal="center" vertical="center" wrapText="1"/>
    </xf>
    <xf numFmtId="0" applyNumberFormat="1" fontId="3" applyFont="1" fillId="6" applyFill="1" borderId="2" applyBorder="1" xfId="0">
      <alignment horizontal="center" vertical="center" wrapText="1"/>
    </xf>
    <xf numFmtId="0" applyNumberFormat="1" fontId="3" applyFont="1" fillId="4" applyFill="1" borderId="3" applyBorder="1" xfId="0">
      <alignment horizontal="center" vertical="center" wrapText="1"/>
    </xf>
    <xf numFmtId="0" applyNumberFormat="1" fontId="3" applyFont="1" fillId="4" applyFill="1" borderId="4" applyBorder="1" xfId="0">
      <alignment horizontal="center" vertical="center" wrapText="1"/>
    </xf>
    <xf numFmtId="0" applyNumberFormat="1" fontId="3" applyFont="1" fillId="4" applyFill="1" borderId="2" applyBorder="1" xfId="0">
      <alignment horizontal="center" vertical="center" wrapText="1"/>
    </xf>
    <xf numFmtId="0" applyNumberFormat="1" fontId="3" applyFont="1" fillId="5" applyFill="1" borderId="3" applyBorder="1" xfId="0">
      <alignment horizontal="center" vertical="center" wrapText="1"/>
    </xf>
    <xf numFmtId="0" applyNumberFormat="1" fontId="3" applyFont="1" fillId="5" applyFill="1" borderId="4" applyBorder="1" xfId="0">
      <alignment horizontal="center" vertical="center" wrapText="1"/>
    </xf>
    <xf numFmtId="0" applyNumberFormat="1" fontId="3" applyFont="1" fillId="5" applyFill="1" borderId="2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7BBCC0"/>
      <color rgb="FF9D8B56"/>
      <color rgb="FF69B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FIT'!$E$7:$E$44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41-4241-B6BF-8C9B62565E47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FIT'!$G$7:$G$66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20256"/>
        <c:axId val="-1084006656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FIT'!$D$7:$D$66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41-4241-B6BF-8C9B62565E47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FIT'!$C$7:$C$66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20256"/>
        <c:axId val="-1084006656"/>
      </c:lineChart>
      <c:catAx>
        <c:axId val="-108402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6656"/>
        <c:crosses val="autoZero"/>
        <c:auto val="1"/>
        <c:lblAlgn val="ctr"/>
        <c:lblOffset val="100"/>
        <c:noMultiLvlLbl val="0"/>
      </c:catAx>
      <c:valAx>
        <c:axId val="-1084006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718003061344635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FIT'!$E$71:$E$130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8B-48E9-A6A2-D94A2ECB52D6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FIT'!$G$71:$G$130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08288"/>
        <c:axId val="-108401862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FIT'!$D$71:$D$130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8B-48E9-A6A2-D94A2ECB52D6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FIT'!$C$71:$C$130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08288"/>
        <c:axId val="-1084018624"/>
      </c:lineChart>
      <c:catAx>
        <c:axId val="-108400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8624"/>
        <c:crosses val="autoZero"/>
        <c:auto val="1"/>
        <c:lblAlgn val="ctr"/>
        <c:lblOffset val="100"/>
        <c:noMultiLvlLbl val="0"/>
      </c:catAx>
      <c:valAx>
        <c:axId val="-108401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FIT'!$E$135:$E$194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9B-48C0-9DC7-2F3D35BCCB95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FIT'!$G$135:$G$194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9712"/>
        <c:axId val="-1084019168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FIT'!$D$135:$D$194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E9B-48C0-9DC7-2F3D35BCCB95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FIT'!$C$135:$C$194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9712"/>
        <c:axId val="-1084019168"/>
      </c:lineChart>
      <c:catAx>
        <c:axId val="-10840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168"/>
        <c:crosses val="autoZero"/>
        <c:auto val="1"/>
        <c:lblAlgn val="ctr"/>
        <c:lblOffset val="100"/>
        <c:noMultiLvlLbl val="0"/>
      </c:catAx>
      <c:valAx>
        <c:axId val="-1084019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FIT'!$E$199:$E$258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C7-48A0-B31D-79438DF83CE8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FIT'!$G$199:$G$258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7536"/>
        <c:axId val="-108401699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FIT'!$D$199:$D$258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C7-48A0-B31D-79438DF83CE8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FIT'!$C$199:$C$258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7536"/>
        <c:axId val="-1084016992"/>
      </c:lineChart>
      <c:catAx>
        <c:axId val="-108401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6992"/>
        <c:crosses val="autoZero"/>
        <c:auto val="1"/>
        <c:lblAlgn val="ctr"/>
        <c:lblOffset val="100"/>
        <c:noMultiLvlLbl val="0"/>
      </c:catAx>
      <c:valAx>
        <c:axId val="-108401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477237309618299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FIT'!$E$263:$E$322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878-4416-A33E-F2CF8704B039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FIT'!$G$263:$G$322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5440"/>
        <c:axId val="-107906414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FIT'!$D$263:$D$322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878-4416-A33E-F2CF8704B039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FIT'!$C$263:$C$322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5440"/>
        <c:axId val="-1079064144"/>
      </c:lineChart>
      <c:catAx>
        <c:axId val="-107905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144"/>
        <c:crosses val="autoZero"/>
        <c:auto val="1"/>
        <c:lblAlgn val="ctr"/>
        <c:lblOffset val="100"/>
        <c:noMultiLvlLbl val="0"/>
      </c:catAx>
      <c:valAx>
        <c:axId val="-10790641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5327778585824987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FIT'!$E$327:$E$386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C8-45F9-91BA-CA0E41C8BECF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FIT'!$G$327:$G$386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0880"/>
        <c:axId val="-107906958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FIT'!$D$327:$D$386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C8-45F9-91BA-CA0E41C8BECF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FIT'!$C$327:$C$386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0880"/>
        <c:axId val="-1079069584"/>
      </c:lineChart>
      <c:catAx>
        <c:axId val="-10790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9584"/>
        <c:crosses val="autoZero"/>
        <c:auto val="1"/>
        <c:lblAlgn val="ctr"/>
        <c:lblOffset val="100"/>
        <c:noMultiLvlLbl val="0"/>
      </c:catAx>
      <c:valAx>
        <c:axId val="-10790695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FIT'!$E$391:$E$450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27-4128-BD24-B57C0CD7E89D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FIT'!$G$391:$G$450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9248"/>
        <c:axId val="-107906523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FIT'!$D$391:$D$450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27-4128-BD24-B57C0CD7E89D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FIT'!$C$391:$C$450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9248"/>
        <c:axId val="-1079065232"/>
      </c:lineChart>
      <c:catAx>
        <c:axId val="-107905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5232"/>
        <c:crosses val="autoZero"/>
        <c:auto val="1"/>
        <c:lblAlgn val="ctr"/>
        <c:lblOffset val="100"/>
        <c:noMultiLvlLbl val="0"/>
      </c:catAx>
      <c:valAx>
        <c:axId val="-107906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3014083333333335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Alive Min</c:v>
          </c:tx>
          <c:spPr>
            <a:noFill/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CHARTS!$D$132:$D$191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E7-4209-B79E-818E68A68B06}"/>
            </c:ext>
          </c:extLst>
        </c:ser>
        <c:ser>
          <c:idx val="4"/>
          <c:order val="2"/>
          <c:tx>
            <c:v>Alive Min-max</c:v>
          </c:tx>
          <c:spPr>
            <a:solidFill>
              <a:srgbClr val="69B023">
                <a:alpha val="20000"/>
              </a:srgbClr>
            </a:solidFill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CHARTS!$F$132:$F$191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1968"/>
        <c:axId val="-1079063600"/>
      </c:areaChart>
      <c:areaChart>
        <c:grouping val="stacked"/>
        <c:varyColors val="0"/>
        <c:ser>
          <c:idx val="3"/>
          <c:order val="4"/>
          <c:tx>
            <c:v>Diagnosed Min</c:v>
          </c:tx>
          <c:spPr>
            <a:noFill/>
            <a:ln>
              <a:noFill/>
            </a:ln>
            <a:effectLst/>
          </c:spPr>
          <c:val>
            <c:numRef>
              <c:f>CHARTS!$H$132:$H$191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FE7-4209-B79E-818E68A68B06}"/>
            </c:ext>
          </c:extLst>
        </c:ser>
        <c:ser>
          <c:idx val="5"/>
          <c:order val="5"/>
          <c:tx>
            <c:v>Diagnosed Min-max</c:v>
          </c:tx>
          <c:spPr>
            <a:solidFill>
              <a:srgbClr val="9D8B56">
                <a:alpha val="20000"/>
              </a:srgbClr>
            </a:solidFill>
            <a:ln>
              <a:noFill/>
            </a:ln>
            <a:effectLst/>
          </c:spPr>
          <c:val>
            <c:numRef>
              <c:f>CHARTS!$J$132:$J$191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4688"/>
        <c:axId val="-1079061424"/>
      </c:areaChart>
      <c:lineChart>
        <c:grouping val="standard"/>
        <c:varyColors val="0"/>
        <c:ser>
          <c:idx val="0"/>
          <c:order val="0"/>
          <c:tx>
            <c:v>Alive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CHARTS!$C$132:$C$191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1968"/>
        <c:axId val="-1079063600"/>
      </c:lineChart>
      <c:lineChart>
        <c:grouping val="standard"/>
        <c:varyColors val="0"/>
        <c:ser>
          <c:idx val="1"/>
          <c:order val="3"/>
          <c:tx>
            <c:v>Diagnosed</c:v>
          </c:tx>
          <c:spPr>
            <a:ln w="22225" cap="rnd">
              <a:solidFill>
                <a:srgbClr val="9D8B56"/>
              </a:solidFill>
              <a:round/>
            </a:ln>
            <a:effectLst/>
          </c:spPr>
          <c:marker>
            <c:symbol val="none"/>
          </c:marker>
          <c:val>
            <c:numRef>
              <c:f>CHARTS!$G$132:$G$191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4688"/>
        <c:axId val="-1079061424"/>
      </c:lineChart>
      <c:catAx>
        <c:axId val="-10790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3600"/>
        <c:crosses val="autoZero"/>
        <c:auto val="1"/>
        <c:lblAlgn val="ctr"/>
        <c:lblOffset val="100"/>
        <c:noMultiLvlLbl val="0"/>
      </c:catAx>
      <c:valAx>
        <c:axId val="-1079063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1968"/>
        <c:crosses val="autoZero"/>
        <c:crossBetween val="between"/>
      </c:valAx>
      <c:valAx>
        <c:axId val="-1079061424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688"/>
        <c:crosses val="max"/>
        <c:crossBetween val="between"/>
      </c:valAx>
      <c:catAx>
        <c:axId val="-10790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906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180634722222222"/>
          <c:y val="4.8290833333333331E-2"/>
          <c:w val="0.18193652777777777"/>
          <c:h val="0.25236166666666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CHARTS!$D$196:$D$255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A2-4D7A-926D-44A239A5ABF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CHARTS!$F$196:$F$255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8704"/>
        <c:axId val="-1079066320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CHARTS!$C$196:$C$255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8704"/>
        <c:axId val="-1079066320"/>
      </c:lineChart>
      <c:catAx>
        <c:axId val="-10790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6320"/>
        <c:crosses val="autoZero"/>
        <c:auto val="1"/>
        <c:lblAlgn val="ctr"/>
        <c:lblOffset val="100"/>
        <c:noMultiLvlLbl val="0"/>
      </c:catAx>
      <c:valAx>
        <c:axId val="-1079066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6174722222222238E-2"/>
          <c:w val="0.12372819444444444"/>
          <c:h val="0.100983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CHARTS!$D$4:$D$41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E7-4F86-8ED0-9B4ABAB8ADEE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CHARTS!$F$4:$F$63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2512"/>
        <c:axId val="-107905707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CHARTS!$B$4:$B$63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CHARTS!$C$4:$C$63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2512"/>
        <c:axId val="-1079057072"/>
      </c:lineChart>
      <c:catAx>
        <c:axId val="-107906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7072"/>
        <c:crosses val="autoZero"/>
        <c:auto val="1"/>
        <c:lblAlgn val="ctr"/>
        <c:lblOffset val="100"/>
        <c:noMultiLvlLbl val="0"/>
      </c:catAx>
      <c:valAx>
        <c:axId val="-107905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7341388888888905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CHARTS!$D$68:$D$127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13-4068-8C98-82E51A8E706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CHARTS!$F$68:$F$127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4896"/>
        <c:axId val="-107905435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CHARTS!$B$68:$B$127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CHARTS!$C$68:$C$127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4896"/>
        <c:axId val="-1079054352"/>
      </c:lineChart>
      <c:catAx>
        <c:axId val="-107905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352"/>
        <c:crosses val="autoZero"/>
        <c:auto val="1"/>
        <c:lblAlgn val="ctr"/>
        <c:lblOffset val="100"/>
        <c:noMultiLvlLbl val="0"/>
      </c:catAx>
      <c:valAx>
        <c:axId val="-1079054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6.498027777777779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19</xdr:col>
      <xdr:colOff>494400</xdr:colOff>
      <xdr:row>31</xdr:row>
      <xdr:rowOff>37650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71</xdr:row>
      <xdr:rowOff>0</xdr:rowOff>
    </xdr:from>
    <xdr:to>
      <xdr:col>19</xdr:col>
      <xdr:colOff>494400</xdr:colOff>
      <xdr:row>96</xdr:row>
      <xdr:rowOff>37650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134</xdr:row>
      <xdr:rowOff>0</xdr:rowOff>
    </xdr:from>
    <xdr:to>
      <xdr:col>19</xdr:col>
      <xdr:colOff>494400</xdr:colOff>
      <xdr:row>159</xdr:row>
      <xdr:rowOff>37650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198</xdr:row>
      <xdr:rowOff>0</xdr:rowOff>
    </xdr:from>
    <xdr:to>
      <xdr:col>19</xdr:col>
      <xdr:colOff>494400</xdr:colOff>
      <xdr:row>223</xdr:row>
      <xdr:rowOff>37650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262</xdr:row>
      <xdr:rowOff>0</xdr:rowOff>
    </xdr:from>
    <xdr:to>
      <xdr:col>19</xdr:col>
      <xdr:colOff>494400</xdr:colOff>
      <xdr:row>287</xdr:row>
      <xdr:rowOff>37650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326</xdr:row>
      <xdr:rowOff>0</xdr:rowOff>
    </xdr:from>
    <xdr:to>
      <xdr:col>19</xdr:col>
      <xdr:colOff>494400</xdr:colOff>
      <xdr:row>351</xdr:row>
      <xdr:rowOff>37650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390</xdr:row>
      <xdr:rowOff>0</xdr:rowOff>
    </xdr:from>
    <xdr:to>
      <xdr:col>19</xdr:col>
      <xdr:colOff>494400</xdr:colOff>
      <xdr:row>415</xdr:row>
      <xdr:rowOff>37650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1095375</xdr:colOff>
          <xdr:row>0</xdr:row>
          <xdr:rowOff>38100</xdr:rowOff>
        </xdr:from>
        <xdr:to>
          <xdr:col>4</xdr:col>
          <xdr:colOff>1162050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131</xdr:row>
      <xdr:rowOff>0</xdr:rowOff>
    </xdr:from>
    <xdr:to>
      <xdr:col>26</xdr:col>
      <xdr:colOff>151500</xdr:colOff>
      <xdr:row>156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195</xdr:row>
      <xdr:rowOff>19050</xdr:rowOff>
    </xdr:from>
    <xdr:to>
      <xdr:col>12</xdr:col>
      <xdr:colOff>542025</xdr:colOff>
      <xdr:row>220</xdr:row>
      <xdr:rowOff>47175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3</xdr:row>
      <xdr:rowOff>9525</xdr:rowOff>
    </xdr:from>
    <xdr:to>
      <xdr:col>12</xdr:col>
      <xdr:colOff>561075</xdr:colOff>
      <xdr:row>28</xdr:row>
      <xdr:rowOff>37650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352425</xdr:colOff>
      <xdr:row>67</xdr:row>
      <xdr:rowOff>9524</xdr:rowOff>
    </xdr:from>
    <xdr:to>
      <xdr:col>12</xdr:col>
      <xdr:colOff>580125</xdr:colOff>
      <xdr:row>92</xdr:row>
      <xdr:rowOff>37649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HIVAIDSdiagnoses" displayName="tblHIVAIDSdiagnoses" ref="B326:G386" totalsRowShown="0">
  <autoFilter ref="B326:G386">
    <filterColumn colId="0">
      <customFilters>
        <customFilter operator="notEqual" val=" "/>
      </customFilters>
    </filterColumn>
  </autoFilter>
  <tableColumns count="6">
    <tableColumn id="1" name="year"/>
    <tableColumn id="2" name="N_HIVAIDS_D"/>
    <tableColumn id="3" name="N_HIVAIDS_Obs_M"/>
    <tableColumn id="4" name="N_HIVAIDS_Obs_M_LB"/>
    <tableColumn id="5" name="N_HIVAIDS_Obs_M_UB"/>
    <tableColumn id="6" name="Min-max"/>
  </tableColumns>
  <tableStyleInfo showFirstColumn="1" showLastColumn="0" showRowStripes="1" showColumnStripes="0"/>
</table>
</file>

<file path=xl/tables/table2.xml><?xml version="1.0" encoding="utf-8"?>
<table xmlns="http://schemas.openxmlformats.org/spreadsheetml/2006/main" id="2" name="tblHIVdiagnoses" displayName="tblHIVdiagnoses" ref="B6:G66" totalsRowShown="0">
  <autoFilter ref="B6:G66">
    <filterColumn colId="0">
      <customFilters>
        <customFilter operator="notEqual" val=" "/>
      </customFilters>
    </filterColumn>
  </autoFilter>
  <tableColumns count="6">
    <tableColumn id="1" name="year"/>
    <tableColumn id="2" name="N_HIV_D"/>
    <tableColumn id="3" name="N_HIV_Obs_M"/>
    <tableColumn id="4" name="N_HIV_Obs_M_LB"/>
    <tableColumn id="5" name="N_HIV_Obs_M_UB"/>
    <tableColumn id="6" name="Min-max"/>
  </tableColumns>
  <tableStyleInfo showFirstColumn="1" showLastColumn="0" showRowStripes="1" showColumnStripes="0"/>
</table>
</file>

<file path=xl/tables/table3.xml><?xml version="1.0" encoding="utf-8"?>
<table xmlns="http://schemas.openxmlformats.org/spreadsheetml/2006/main" id="3" name="tblCD4Count4" displayName="tblCD4Count4" ref="B262:G322" totalsRowShown="0">
  <autoFilter ref="B262:G322">
    <filterColumn colId="0">
      <customFilters>
        <customFilter operator="notEqual" val=" "/>
      </customFilters>
    </filterColumn>
  </autoFilter>
  <tableColumns count="6">
    <tableColumn id="1" name="year"/>
    <tableColumn id="2" name="N_CD4_4_D"/>
    <tableColumn id="3" name="N_CD4_4_Obs_M"/>
    <tableColumn id="4" name="N_CD4_4_Obs_M_LB"/>
    <tableColumn id="5" name="N_CD4_4_Obs_M_UB"/>
    <tableColumn id="6" name="Min-max"/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id="4" name="tblCD4Count3" displayName="tblCD4Count3" ref="B198:G258" totalsRowShown="0">
  <autoFilter ref="B198:G258">
    <filterColumn colId="0">
      <customFilters>
        <customFilter operator="notEqual" val=" "/>
      </customFilters>
    </filterColumn>
  </autoFilter>
  <tableColumns count="6">
    <tableColumn id="1" name="year"/>
    <tableColumn id="2" name="N_CD4_3_D"/>
    <tableColumn id="3" name="N_CD4_3_Obs_M"/>
    <tableColumn id="4" name="N_CD4_3_Obs_M_LB"/>
    <tableColumn id="5" name="N_CD4_3_Obs_M_UB"/>
    <tableColumn id="6" name="Min-max"/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id="5" name="tblCD4Count2" displayName="tblCD4Count2" ref="B134:G194" totalsRowShown="0">
  <autoFilter ref="B134:G194">
    <filterColumn colId="0">
      <customFilters>
        <customFilter operator="notEqual" val=" "/>
      </customFilters>
    </filterColumn>
  </autoFilter>
  <tableColumns count="6">
    <tableColumn id="1" name="year"/>
    <tableColumn id="2" name="N_CD4_2_D"/>
    <tableColumn id="3" name="N_CD4_2_Obs_M"/>
    <tableColumn id="4" name="N_CD4_2_Obs_M_LB"/>
    <tableColumn id="5" name="N_CD4_2_Obs_M_UB"/>
    <tableColumn id="6" name="Min-max"/>
  </tableColumns>
  <tableStyleInfo showFirstColumn="1" showLastColumn="0" showRowStripes="1" showColumnStripes="0"/>
</table>
</file>

<file path=xl/tables/table6.xml><?xml version="1.0" encoding="utf-8"?>
<table xmlns="http://schemas.openxmlformats.org/spreadsheetml/2006/main" id="6" name="tblCD4Count1" displayName="tblCD4Count1" ref="B70:G130" totalsRowShown="0">
  <autoFilter ref="B70:G130">
    <filterColumn colId="0">
      <customFilters>
        <customFilter operator="notEqual" val=" "/>
      </customFilters>
    </filterColumn>
  </autoFilter>
  <tableColumns count="6">
    <tableColumn id="1" name="year"/>
    <tableColumn id="2" name="N_CD4_1_D"/>
    <tableColumn id="3" name="N_CD4_1_Obs_M"/>
    <tableColumn id="4" name="N_CD4_1_Obs_M_LB"/>
    <tableColumn id="5" name="N_CD4_1_Obs_M_UB"/>
    <tableColumn id="6" name="Min-max"/>
  </tableColumns>
  <tableStyleInfo showFirstColumn="1" showLastColumn="0" showRowStripes="1" showColumnStripes="0"/>
</table>
</file>

<file path=xl/tables/table7.xml><?xml version="1.0" encoding="utf-8"?>
<table xmlns="http://schemas.openxmlformats.org/spreadsheetml/2006/main" id="7" name="tblAIDSdiagnoses" displayName="tblAIDSdiagnoses" ref="B390:G450" totalsRowShown="0">
  <autoFilter ref="B390:G450">
    <filterColumn colId="0">
      <customFilters>
        <customFilter operator="notEqual" val=" "/>
      </customFilters>
    </filterColumn>
  </autoFilter>
  <tableColumns count="6">
    <tableColumn id="1" name="year"/>
    <tableColumn id="2" name="N_AIDS_D"/>
    <tableColumn id="3" name="N_AIDS_M"/>
    <tableColumn id="4" name="N_AIDS_M_LB"/>
    <tableColumn id="5" name="N_AIDS_M_UB"/>
    <tableColumn id="6" name="Min-max"/>
  </tableColumns>
  <tableStyleInfo showFirstColumn="1" showLastColumn="0" showRowStripes="1" showColumnStripes="0"/>
</table>
</file>

<file path=xl/tables/table8.xml><?xml version="1.0" encoding="utf-8"?>
<table xmlns="http://schemas.openxmlformats.org/spreadsheetml/2006/main" id="8" name="tblHIVinfections" displayName="tblHIVinfections" ref="B3:F63" totalsRowShown="0">
  <autoFilter ref="B3:F63">
    <filterColumn colId="0">
      <customFilters>
        <customFilter operator="notEqual" val=" "/>
      </customFilters>
    </filterColumn>
  </autoFilter>
  <tableColumns count="5">
    <tableColumn id="1" name="year"/>
    <tableColumn id="2" name="N_Inf_M"/>
    <tableColumn id="3" name="N_Inf_M_LB"/>
    <tableColumn id="4" name="N_Inf_M_UB"/>
    <tableColumn id="5" name="Min-max"/>
  </tableColumns>
  <tableStyleInfo showFirstColumn="1" showLastColumn="0" showRowStripes="1" showColumnStripes="0"/>
</table>
</file>

<file path=xl/tables/table9.xml><?xml version="1.0" encoding="utf-8"?>
<table xmlns="http://schemas.openxmlformats.org/spreadsheetml/2006/main" id="9" name="tblPropUndiag" displayName="tblPropUndiag" ref="B195:F255" totalsRowShown="0">
  <autoFilter ref="B195:F255">
    <filterColumn colId="0">
      <customFilters>
        <customFilter operator="notEqual" val=" "/>
      </customFilters>
    </filterColumn>
  </autoFilter>
  <tableColumns count="5">
    <tableColumn id="1" name="year"/>
    <tableColumn id="2" name="N_Und_Alive_p"/>
    <tableColumn id="3" name="N_Und_Alive_p_LB"/>
    <tableColumn id="4" name="N_Und_Alive_p_UB"/>
    <tableColumn id="5" name="Min-max"/>
  </tableColumns>
  <tableStyleInfo showFirstColumn="1" showLastColumn="0" showRowStripes="1" showColumnStripes="0"/>
</table>
</file>

<file path=xl/tables/table10.xml><?xml version="1.0" encoding="utf-8"?>
<table xmlns="http://schemas.openxmlformats.org/spreadsheetml/2006/main" id="10" name="tblTotalInfected" displayName="tblTotalInfected" ref="B131:N191" totalsRowShown="0">
  <autoFilter ref="B131:N191">
    <filterColumn colId="0">
      <customFilters>
        <customFilter operator="notEqual" val=" "/>
      </customFilters>
    </filterColumn>
  </autoFilter>
  <tableColumns count="13">
    <tableColumn id="1" name="year"/>
    <tableColumn id="2" name="N_Alive"/>
    <tableColumn id="3" name="N_Alive_LB"/>
    <tableColumn id="4" name="N_Alive_UB"/>
    <tableColumn id="5" name="Alive Min-max"/>
    <tableColumn id="6" name="N_Alive_Diag_M"/>
    <tableColumn id="7" name="N_Alive_Diag_M_LB"/>
    <tableColumn id="8" name="N_Alive_Diag_M_UB"/>
    <tableColumn id="9" name="Diag Min-max"/>
    <tableColumn id="10" name="N_Und"/>
    <tableColumn id="11" name="N_Und_LB"/>
    <tableColumn id="12" name="N_Und_UB"/>
    <tableColumn id="13" name="Undiag Min-max"/>
  </tableColumns>
  <tableStyleInfo showFirstColumn="1" showLastColumn="0" showRowStripes="1" showColumnStripes="0"/>
</table>
</file>

<file path=xl/tables/table11.xml><?xml version="1.0" encoding="utf-8"?>
<table xmlns="http://schemas.openxmlformats.org/spreadsheetml/2006/main" id="11" name="tblTimeToDiag" displayName="tblTimeToDiag" ref="B67:F127" totalsRowShown="0">
  <autoFilter ref="B67:F127">
    <filterColumn colId="0">
      <customFilters>
        <customFilter operator="notEqual" val=" "/>
      </customFilters>
    </filterColumn>
  </autoFilter>
  <tableColumns count="5">
    <tableColumn id="1" name="year"/>
    <tableColumn id="2" name="t_diag"/>
    <tableColumn id="3" name="t_diag_LB"/>
    <tableColumn id="4" name="t_diag_UB"/>
    <tableColumn id="5" name="Min-max"/>
  </tableColumns>
  <tableStyleInfo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  <pageSetUpPr autoPageBreaks="0"/>
  </sheetPr>
  <dimension ref="A4:T450"/>
  <sheetViews>
    <sheetView showGridLines="0" tabSelected="1" workbookViewId="0"/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4.28515625" customWidth="1" style="1"/>
    <col min="9" max="9" width="9.140625" customWidth="1" style="1"/>
    <col min="10" max="10" width="9.140625" customWidth="1" style="1"/>
    <col min="11" max="11" width="9.140625" customWidth="1" style="1"/>
    <col min="12" max="12" width="9.140625" customWidth="1" style="1"/>
    <col min="13" max="13" width="9.140625" customWidth="1" style="1"/>
    <col min="14" max="14" width="9.1406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16384" width="9.140625" customWidth="1" style="1"/>
  </cols>
  <sheetData>
    <row r="4" ht="19.5" customHeight="1">
      <c r="A4" s="16" t="s">
        <v>94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ht="15" customHeight="1">
      <c r="B5" s="4"/>
      <c r="C5" s="5" t="s">
        <v>95</v>
      </c>
      <c r="D5" s="5" t="s">
        <v>81</v>
      </c>
      <c r="E5" s="17" t="s">
        <v>82</v>
      </c>
      <c r="F5" s="18"/>
      <c r="G5" s="19"/>
    </row>
    <row r="6" ht="22.5" customHeight="1">
      <c r="A6" s="6" t="s">
        <v>83</v>
      </c>
      <c r="B6" s="7" t="s">
        <v>4</v>
      </c>
      <c r="C6" s="7" t="s">
        <v>5</v>
      </c>
      <c r="D6" s="7" t="s">
        <v>6</v>
      </c>
      <c r="E6" s="7" t="s">
        <v>32</v>
      </c>
      <c r="F6" s="7" t="s">
        <v>33</v>
      </c>
      <c r="G6" s="8" t="s">
        <v>82</v>
      </c>
    </row>
    <row r="7">
      <c r="A7" s="9">
        <v>1</v>
      </c>
      <c r="B7" s="10">
        <f>IF(INDEX(rngYear,A7+1)&lt;&gt;0,INDEX(rngYear,A7+1),"")</f>
        <v>1980</v>
      </c>
      <c r="C7" s="11">
        <f>IFERROR(INDEX(rngData,MATCH($B7,rngYear,0),MATCH(OFFSET(C7,-$A7,0),rngColumnNames,0)),"")</f>
        <v>0</v>
      </c>
      <c r="D7" s="11">
        <f>IFERROR(INDEX(rngData,MATCH($B7,rngYear,0),MATCH(OFFSET(D7,-$A7,0),rngColumnNames,0)),"")</f>
        <v>0</v>
      </c>
      <c r="E7" s="11">
        <f>IFERROR(INDEX(rngData,MATCH($B7,rngYear,0),MATCH(OFFSET(E7,-$A7,0),rngColumnNames,0)),"")</f>
        <v>0</v>
      </c>
      <c r="F7" s="11">
        <f>IFERROR(INDEX(rngData,MATCH($B7,rngYear,0),MATCH(OFFSET(F7,-$A7,0),rngColumnNames,0)),"")</f>
        <v>0</v>
      </c>
      <c r="G7" s="11">
        <f ref="G7:G38" t="shared" si="0">IFERROR(F7-E7,"")</f>
        <v>0</v>
      </c>
    </row>
    <row r="8">
      <c r="A8" s="9">
        <f ref="A8:A39" t="shared" si="1">A7+1</f>
        <v>2</v>
      </c>
      <c r="B8" s="10">
        <f>IF(INDEX(rngYear,A8+1)&lt;&gt;0,INDEX(rngYear,A8+1),"")</f>
        <v>1981</v>
      </c>
      <c r="C8" s="11">
        <f>IFERROR(INDEX(rngData,MATCH($B8,rngYear,0),MATCH(OFFSET(C8,-$A8,0),rngColumnNames,0)),"")</f>
        <v>0</v>
      </c>
      <c r="D8" s="11">
        <f>IFERROR(INDEX(rngData,MATCH($B8,rngYear,0),MATCH(OFFSET(D8,-$A8,0),rngColumnNames,0)),"")</f>
        <v>0</v>
      </c>
      <c r="E8" s="11">
        <f>IFERROR(INDEX(rngData,MATCH($B8,rngYear,0),MATCH(OFFSET(E8,-$A8,0),rngColumnNames,0)),"")</f>
        <v>0</v>
      </c>
      <c r="F8" s="11">
        <f>IFERROR(INDEX(rngData,MATCH($B8,rngYear,0),MATCH(OFFSET(F8,-$A8,0),rngColumnNames,0)),"")</f>
        <v>0</v>
      </c>
      <c r="G8" s="11">
        <f t="shared" si="0"/>
        <v>0</v>
      </c>
    </row>
    <row r="9">
      <c r="A9" s="9">
        <f t="shared" si="1"/>
        <v>3</v>
      </c>
      <c r="B9" s="10">
        <f>IF(INDEX(rngYear,A9+1)&lt;&gt;0,INDEX(rngYear,A9+1),"")</f>
        <v>1982</v>
      </c>
      <c r="C9" s="11">
        <f>IFERROR(INDEX(rngData,MATCH($B9,rngYear,0),MATCH(OFFSET(C9,-$A9,0),rngColumnNames,0)),"")</f>
        <v>0</v>
      </c>
      <c r="D9" s="11">
        <f>IFERROR(INDEX(rngData,MATCH($B9,rngYear,0),MATCH(OFFSET(D9,-$A9,0),rngColumnNames,0)),"")</f>
        <v>0</v>
      </c>
      <c r="E9" s="11">
        <f>IFERROR(INDEX(rngData,MATCH($B9,rngYear,0),MATCH(OFFSET(E9,-$A9,0),rngColumnNames,0)),"")</f>
        <v>0</v>
      </c>
      <c r="F9" s="11">
        <f>IFERROR(INDEX(rngData,MATCH($B9,rngYear,0),MATCH(OFFSET(F9,-$A9,0),rngColumnNames,0)),"")</f>
        <v>0</v>
      </c>
      <c r="G9" s="11">
        <f t="shared" si="0"/>
        <v>0</v>
      </c>
    </row>
    <row r="10">
      <c r="A10" s="9">
        <f t="shared" si="1"/>
        <v>4</v>
      </c>
      <c r="B10" s="10">
        <f>IF(INDEX(rngYear,A10+1)&lt;&gt;0,INDEX(rngYear,A10+1),"")</f>
        <v>1983</v>
      </c>
      <c r="C10" s="11">
        <f>IFERROR(INDEX(rngData,MATCH($B10,rngYear,0),MATCH(OFFSET(C10,-$A10,0),rngColumnNames,0)),"")</f>
        <v>0</v>
      </c>
      <c r="D10" s="11">
        <f>IFERROR(INDEX(rngData,MATCH($B10,rngYear,0),MATCH(OFFSET(D10,-$A10,0),rngColumnNames,0)),"")</f>
        <v>0</v>
      </c>
      <c r="E10" s="11">
        <f>IFERROR(INDEX(rngData,MATCH($B10,rngYear,0),MATCH(OFFSET(E10,-$A10,0),rngColumnNames,0)),"")</f>
        <v>0</v>
      </c>
      <c r="F10" s="11">
        <f>IFERROR(INDEX(rngData,MATCH($B10,rngYear,0),MATCH(OFFSET(F10,-$A10,0),rngColumnNames,0)),"")</f>
        <v>0</v>
      </c>
      <c r="G10" s="11">
        <f t="shared" si="0"/>
        <v>0</v>
      </c>
    </row>
    <row r="11">
      <c r="A11" s="9">
        <f t="shared" si="1"/>
        <v>5</v>
      </c>
      <c r="B11" s="10">
        <f>IF(INDEX(rngYear,A11+1)&lt;&gt;0,INDEX(rngYear,A11+1),"")</f>
        <v>1984</v>
      </c>
      <c r="C11" s="11">
        <f>IFERROR(INDEX(rngData,MATCH($B11,rngYear,0),MATCH(OFFSET(C11,-$A11,0),rngColumnNames,0)),"")</f>
        <v>0</v>
      </c>
      <c r="D11" s="11">
        <f>IFERROR(INDEX(rngData,MATCH($B11,rngYear,0),MATCH(OFFSET(D11,-$A11,0),rngColumnNames,0)),"")</f>
        <v>0</v>
      </c>
      <c r="E11" s="11">
        <f>IFERROR(INDEX(rngData,MATCH($B11,rngYear,0),MATCH(OFFSET(E11,-$A11,0),rngColumnNames,0)),"")</f>
        <v>0</v>
      </c>
      <c r="F11" s="11">
        <f>IFERROR(INDEX(rngData,MATCH($B11,rngYear,0),MATCH(OFFSET(F11,-$A11,0),rngColumnNames,0)),"")</f>
        <v>0</v>
      </c>
      <c r="G11" s="11">
        <f t="shared" si="0"/>
        <v>0</v>
      </c>
    </row>
    <row r="12">
      <c r="A12" s="9">
        <f t="shared" si="1"/>
        <v>6</v>
      </c>
      <c r="B12" s="10">
        <f>IF(INDEX(rngYear,A12+1)&lt;&gt;0,INDEX(rngYear,A12+1),"")</f>
        <v>1985</v>
      </c>
      <c r="C12" s="11">
        <f>IFERROR(INDEX(rngData,MATCH($B12,rngYear,0),MATCH(OFFSET(C12,-$A12,0),rngColumnNames,0)),"")</f>
        <v>0</v>
      </c>
      <c r="D12" s="11">
        <f>IFERROR(INDEX(rngData,MATCH($B12,rngYear,0),MATCH(OFFSET(D12,-$A12,0),rngColumnNames,0)),"")</f>
        <v>0</v>
      </c>
      <c r="E12" s="11">
        <f>IFERROR(INDEX(rngData,MATCH($B12,rngYear,0),MATCH(OFFSET(E12,-$A12,0),rngColumnNames,0)),"")</f>
        <v>0</v>
      </c>
      <c r="F12" s="11">
        <f>IFERROR(INDEX(rngData,MATCH($B12,rngYear,0),MATCH(OFFSET(F12,-$A12,0),rngColumnNames,0)),"")</f>
        <v>0</v>
      </c>
      <c r="G12" s="11">
        <f t="shared" si="0"/>
        <v>0</v>
      </c>
    </row>
    <row r="13">
      <c r="A13" s="9">
        <f t="shared" si="1"/>
        <v>7</v>
      </c>
      <c r="B13" s="10">
        <f>IF(INDEX(rngYear,A13+1)&lt;&gt;0,INDEX(rngYear,A13+1),"")</f>
        <v>1986</v>
      </c>
      <c r="C13" s="11">
        <f>IFERROR(INDEX(rngData,MATCH($B13,rngYear,0),MATCH(OFFSET(C13,-$A13,0),rngColumnNames,0)),"")</f>
        <v>0</v>
      </c>
      <c r="D13" s="11">
        <f>IFERROR(INDEX(rngData,MATCH($B13,rngYear,0),MATCH(OFFSET(D13,-$A13,0),rngColumnNames,0)),"")</f>
        <v>0</v>
      </c>
      <c r="E13" s="11">
        <f>IFERROR(INDEX(rngData,MATCH($B13,rngYear,0),MATCH(OFFSET(E13,-$A13,0),rngColumnNames,0)),"")</f>
        <v>0</v>
      </c>
      <c r="F13" s="11">
        <f>IFERROR(INDEX(rngData,MATCH($B13,rngYear,0),MATCH(OFFSET(F13,-$A13,0),rngColumnNames,0)),"")</f>
        <v>0</v>
      </c>
      <c r="G13" s="11">
        <f t="shared" si="0"/>
        <v>0</v>
      </c>
    </row>
    <row r="14">
      <c r="A14" s="9">
        <f t="shared" si="1"/>
        <v>8</v>
      </c>
      <c r="B14" s="10">
        <f>IF(INDEX(rngYear,A14+1)&lt;&gt;0,INDEX(rngYear,A14+1),"")</f>
        <v>1987</v>
      </c>
      <c r="C14" s="11">
        <f>IFERROR(INDEX(rngData,MATCH($B14,rngYear,0),MATCH(OFFSET(C14,-$A14,0),rngColumnNames,0)),"")</f>
        <v>0</v>
      </c>
      <c r="D14" s="11">
        <f>IFERROR(INDEX(rngData,MATCH($B14,rngYear,0),MATCH(OFFSET(D14,-$A14,0),rngColumnNames,0)),"")</f>
        <v>0</v>
      </c>
      <c r="E14" s="11">
        <f>IFERROR(INDEX(rngData,MATCH($B14,rngYear,0),MATCH(OFFSET(E14,-$A14,0),rngColumnNames,0)),"")</f>
        <v>0</v>
      </c>
      <c r="F14" s="11">
        <f>IFERROR(INDEX(rngData,MATCH($B14,rngYear,0),MATCH(OFFSET(F14,-$A14,0),rngColumnNames,0)),"")</f>
        <v>0</v>
      </c>
      <c r="G14" s="11">
        <f t="shared" si="0"/>
        <v>0</v>
      </c>
    </row>
    <row r="15">
      <c r="A15" s="9">
        <f t="shared" si="1"/>
        <v>9</v>
      </c>
      <c r="B15" s="10">
        <f>IF(INDEX(rngYear,A15+1)&lt;&gt;0,INDEX(rngYear,A15+1),"")</f>
        <v>1988</v>
      </c>
      <c r="C15" s="11">
        <f>IFERROR(INDEX(rngData,MATCH($B15,rngYear,0),MATCH(OFFSET(C15,-$A15,0),rngColumnNames,0)),"")</f>
        <v>0</v>
      </c>
      <c r="D15" s="11">
        <f>IFERROR(INDEX(rngData,MATCH($B15,rngYear,0),MATCH(OFFSET(D15,-$A15,0),rngColumnNames,0)),"")</f>
        <v>0</v>
      </c>
      <c r="E15" s="11">
        <f>IFERROR(INDEX(rngData,MATCH($B15,rngYear,0),MATCH(OFFSET(E15,-$A15,0),rngColumnNames,0)),"")</f>
        <v>0</v>
      </c>
      <c r="F15" s="11">
        <f>IFERROR(INDEX(rngData,MATCH($B15,rngYear,0),MATCH(OFFSET(F15,-$A15,0),rngColumnNames,0)),"")</f>
        <v>0</v>
      </c>
      <c r="G15" s="11">
        <f t="shared" si="0"/>
        <v>0</v>
      </c>
    </row>
    <row r="16">
      <c r="A16" s="9">
        <f t="shared" si="1"/>
        <v>10</v>
      </c>
      <c r="B16" s="10">
        <f>IF(INDEX(rngYear,A16+1)&lt;&gt;0,INDEX(rngYear,A16+1),"")</f>
        <v>1989</v>
      </c>
      <c r="C16" s="11">
        <f>IFERROR(INDEX(rngData,MATCH($B16,rngYear,0),MATCH(OFFSET(C16,-$A16,0),rngColumnNames,0)),"")</f>
        <v>0</v>
      </c>
      <c r="D16" s="11">
        <f>IFERROR(INDEX(rngData,MATCH($B16,rngYear,0),MATCH(OFFSET(D16,-$A16,0),rngColumnNames,0)),"")</f>
        <v>0</v>
      </c>
      <c r="E16" s="11">
        <f>IFERROR(INDEX(rngData,MATCH($B16,rngYear,0),MATCH(OFFSET(E16,-$A16,0),rngColumnNames,0)),"")</f>
        <v>0</v>
      </c>
      <c r="F16" s="11">
        <f>IFERROR(INDEX(rngData,MATCH($B16,rngYear,0),MATCH(OFFSET(F16,-$A16,0),rngColumnNames,0)),"")</f>
        <v>0</v>
      </c>
      <c r="G16" s="11">
        <f t="shared" si="0"/>
        <v>0</v>
      </c>
    </row>
    <row r="17">
      <c r="A17" s="9">
        <f t="shared" si="1"/>
        <v>11</v>
      </c>
      <c r="B17" s="10">
        <f>IF(INDEX(rngYear,A17+1)&lt;&gt;0,INDEX(rngYear,A17+1),"")</f>
        <v>1990</v>
      </c>
      <c r="C17" s="11">
        <f>IFERROR(INDEX(rngData,MATCH($B17,rngYear,0),MATCH(OFFSET(C17,-$A17,0),rngColumnNames,0)),"")</f>
        <v>0</v>
      </c>
      <c r="D17" s="11">
        <f>IFERROR(INDEX(rngData,MATCH($B17,rngYear,0),MATCH(OFFSET(D17,-$A17,0),rngColumnNames,0)),"")</f>
        <v>0</v>
      </c>
      <c r="E17" s="11">
        <f>IFERROR(INDEX(rngData,MATCH($B17,rngYear,0),MATCH(OFFSET(E17,-$A17,0),rngColumnNames,0)),"")</f>
        <v>0</v>
      </c>
      <c r="F17" s="11">
        <f>IFERROR(INDEX(rngData,MATCH($B17,rngYear,0),MATCH(OFFSET(F17,-$A17,0),rngColumnNames,0)),"")</f>
        <v>0</v>
      </c>
      <c r="G17" s="11">
        <f t="shared" si="0"/>
        <v>0</v>
      </c>
    </row>
    <row r="18">
      <c r="A18" s="9">
        <f t="shared" si="1"/>
        <v>12</v>
      </c>
      <c r="B18" s="10">
        <f>IF(INDEX(rngYear,A18+1)&lt;&gt;0,INDEX(rngYear,A18+1),"")</f>
        <v>1991</v>
      </c>
      <c r="C18" s="11">
        <f>IFERROR(INDEX(rngData,MATCH($B18,rngYear,0),MATCH(OFFSET(C18,-$A18,0),rngColumnNames,0)),"")</f>
        <v>0</v>
      </c>
      <c r="D18" s="11">
        <f>IFERROR(INDEX(rngData,MATCH($B18,rngYear,0),MATCH(OFFSET(D18,-$A18,0),rngColumnNames,0)),"")</f>
        <v>0</v>
      </c>
      <c r="E18" s="11">
        <f>IFERROR(INDEX(rngData,MATCH($B18,rngYear,0),MATCH(OFFSET(E18,-$A18,0),rngColumnNames,0)),"")</f>
        <v>0</v>
      </c>
      <c r="F18" s="11">
        <f>IFERROR(INDEX(rngData,MATCH($B18,rngYear,0),MATCH(OFFSET(F18,-$A18,0),rngColumnNames,0)),"")</f>
        <v>0</v>
      </c>
      <c r="G18" s="11">
        <f t="shared" si="0"/>
        <v>0</v>
      </c>
    </row>
    <row r="19">
      <c r="A19" s="9">
        <f t="shared" si="1"/>
        <v>13</v>
      </c>
      <c r="B19" s="10">
        <f>IF(INDEX(rngYear,A19+1)&lt;&gt;0,INDEX(rngYear,A19+1),"")</f>
        <v>1992</v>
      </c>
      <c r="C19" s="11">
        <f>IFERROR(INDEX(rngData,MATCH($B19,rngYear,0),MATCH(OFFSET(C19,-$A19,0),rngColumnNames,0)),"")</f>
        <v>0</v>
      </c>
      <c r="D19" s="11">
        <f>IFERROR(INDEX(rngData,MATCH($B19,rngYear,0),MATCH(OFFSET(D19,-$A19,0),rngColumnNames,0)),"")</f>
        <v>0</v>
      </c>
      <c r="E19" s="11">
        <f>IFERROR(INDEX(rngData,MATCH($B19,rngYear,0),MATCH(OFFSET(E19,-$A19,0),rngColumnNames,0)),"")</f>
        <v>0</v>
      </c>
      <c r="F19" s="11">
        <f>IFERROR(INDEX(rngData,MATCH($B19,rngYear,0),MATCH(OFFSET(F19,-$A19,0),rngColumnNames,0)),"")</f>
        <v>0</v>
      </c>
      <c r="G19" s="11">
        <f t="shared" si="0"/>
        <v>0</v>
      </c>
    </row>
    <row r="20">
      <c r="A20" s="9">
        <f t="shared" si="1"/>
        <v>14</v>
      </c>
      <c r="B20" s="10">
        <f>IF(INDEX(rngYear,A20+1)&lt;&gt;0,INDEX(rngYear,A20+1),"")</f>
        <v>1993</v>
      </c>
      <c r="C20" s="11">
        <f>IFERROR(INDEX(rngData,MATCH($B20,rngYear,0),MATCH(OFFSET(C20,-$A20,0),rngColumnNames,0)),"")</f>
        <v>0</v>
      </c>
      <c r="D20" s="11">
        <f>IFERROR(INDEX(rngData,MATCH($B20,rngYear,0),MATCH(OFFSET(D20,-$A20,0),rngColumnNames,0)),"")</f>
        <v>0</v>
      </c>
      <c r="E20" s="11">
        <f>IFERROR(INDEX(rngData,MATCH($B20,rngYear,0),MATCH(OFFSET(E20,-$A20,0),rngColumnNames,0)),"")</f>
        <v>0</v>
      </c>
      <c r="F20" s="11">
        <f>IFERROR(INDEX(rngData,MATCH($B20,rngYear,0),MATCH(OFFSET(F20,-$A20,0),rngColumnNames,0)),"")</f>
        <v>0</v>
      </c>
      <c r="G20" s="11">
        <f t="shared" si="0"/>
        <v>0</v>
      </c>
    </row>
    <row r="21">
      <c r="A21" s="9">
        <f t="shared" si="1"/>
        <v>15</v>
      </c>
      <c r="B21" s="10">
        <f>IF(INDEX(rngYear,A21+1)&lt;&gt;0,INDEX(rngYear,A21+1),"")</f>
        <v>1994</v>
      </c>
      <c r="C21" s="11">
        <f>IFERROR(INDEX(rngData,MATCH($B21,rngYear,0),MATCH(OFFSET(C21,-$A21,0),rngColumnNames,0)),"")</f>
        <v>0</v>
      </c>
      <c r="D21" s="11">
        <f>IFERROR(INDEX(rngData,MATCH($B21,rngYear,0),MATCH(OFFSET(D21,-$A21,0),rngColumnNames,0)),"")</f>
        <v>0</v>
      </c>
      <c r="E21" s="11">
        <f>IFERROR(INDEX(rngData,MATCH($B21,rngYear,0),MATCH(OFFSET(E21,-$A21,0),rngColumnNames,0)),"")</f>
        <v>0</v>
      </c>
      <c r="F21" s="11">
        <f>IFERROR(INDEX(rngData,MATCH($B21,rngYear,0),MATCH(OFFSET(F21,-$A21,0),rngColumnNames,0)),"")</f>
        <v>0</v>
      </c>
      <c r="G21" s="11">
        <f t="shared" si="0"/>
        <v>0</v>
      </c>
    </row>
    <row r="22">
      <c r="A22" s="9">
        <f t="shared" si="1"/>
        <v>16</v>
      </c>
      <c r="B22" s="10">
        <f>IF(INDEX(rngYear,A22+1)&lt;&gt;0,INDEX(rngYear,A22+1),"")</f>
        <v>1995</v>
      </c>
      <c r="C22" s="11">
        <f>IFERROR(INDEX(rngData,MATCH($B22,rngYear,0),MATCH(OFFSET(C22,-$A22,0),rngColumnNames,0)),"")</f>
        <v>0</v>
      </c>
      <c r="D22" s="11">
        <f>IFERROR(INDEX(rngData,MATCH($B22,rngYear,0),MATCH(OFFSET(D22,-$A22,0),rngColumnNames,0)),"")</f>
        <v>0</v>
      </c>
      <c r="E22" s="11">
        <f>IFERROR(INDEX(rngData,MATCH($B22,rngYear,0),MATCH(OFFSET(E22,-$A22,0),rngColumnNames,0)),"")</f>
        <v>0</v>
      </c>
      <c r="F22" s="11">
        <f>IFERROR(INDEX(rngData,MATCH($B22,rngYear,0),MATCH(OFFSET(F22,-$A22,0),rngColumnNames,0)),"")</f>
        <v>0</v>
      </c>
      <c r="G22" s="11">
        <f t="shared" si="0"/>
        <v>0</v>
      </c>
    </row>
    <row r="23">
      <c r="A23" s="9">
        <f t="shared" si="1"/>
        <v>17</v>
      </c>
      <c r="B23" s="10">
        <f>IF(INDEX(rngYear,A23+1)&lt;&gt;0,INDEX(rngYear,A23+1),"")</f>
        <v>1996</v>
      </c>
      <c r="C23" s="11">
        <f>IFERROR(INDEX(rngData,MATCH($B23,rngYear,0),MATCH(OFFSET(C23,-$A23,0),rngColumnNames,0)),"")</f>
        <v>0</v>
      </c>
      <c r="D23" s="11">
        <f>IFERROR(INDEX(rngData,MATCH($B23,rngYear,0),MATCH(OFFSET(D23,-$A23,0),rngColumnNames,0)),"")</f>
        <v>0</v>
      </c>
      <c r="E23" s="11">
        <f>IFERROR(INDEX(rngData,MATCH($B23,rngYear,0),MATCH(OFFSET(E23,-$A23,0),rngColumnNames,0)),"")</f>
        <v>0</v>
      </c>
      <c r="F23" s="11">
        <f>IFERROR(INDEX(rngData,MATCH($B23,rngYear,0),MATCH(OFFSET(F23,-$A23,0),rngColumnNames,0)),"")</f>
        <v>0</v>
      </c>
      <c r="G23" s="11">
        <f t="shared" si="0"/>
        <v>0</v>
      </c>
    </row>
    <row r="24">
      <c r="A24" s="9">
        <f t="shared" si="1"/>
        <v>18</v>
      </c>
      <c r="B24" s="10">
        <f>IF(INDEX(rngYear,A24+1)&lt;&gt;0,INDEX(rngYear,A24+1),"")</f>
        <v>1997</v>
      </c>
      <c r="C24" s="11">
        <f>IFERROR(INDEX(rngData,MATCH($B24,rngYear,0),MATCH(OFFSET(C24,-$A24,0),rngColumnNames,0)),"")</f>
        <v>0</v>
      </c>
      <c r="D24" s="11">
        <f>IFERROR(INDEX(rngData,MATCH($B24,rngYear,0),MATCH(OFFSET(D24,-$A24,0),rngColumnNames,0)),"")</f>
        <v>0</v>
      </c>
      <c r="E24" s="11">
        <f>IFERROR(INDEX(rngData,MATCH($B24,rngYear,0),MATCH(OFFSET(E24,-$A24,0),rngColumnNames,0)),"")</f>
        <v>0</v>
      </c>
      <c r="F24" s="11">
        <f>IFERROR(INDEX(rngData,MATCH($B24,rngYear,0),MATCH(OFFSET(F24,-$A24,0),rngColumnNames,0)),"")</f>
        <v>0</v>
      </c>
      <c r="G24" s="11">
        <f t="shared" si="0"/>
        <v>0</v>
      </c>
    </row>
    <row r="25">
      <c r="A25" s="9">
        <f t="shared" si="1"/>
        <v>19</v>
      </c>
      <c r="B25" s="10">
        <f>IF(INDEX(rngYear,A25+1)&lt;&gt;0,INDEX(rngYear,A25+1),"")</f>
        <v>1998</v>
      </c>
      <c r="C25" s="11">
        <f>IFERROR(INDEX(rngData,MATCH($B25,rngYear,0),MATCH(OFFSET(C25,-$A25,0),rngColumnNames,0)),"")</f>
        <v>0</v>
      </c>
      <c r="D25" s="11">
        <f>IFERROR(INDEX(rngData,MATCH($B25,rngYear,0),MATCH(OFFSET(D25,-$A25,0),rngColumnNames,0)),"")</f>
        <v>0</v>
      </c>
      <c r="E25" s="11">
        <f>IFERROR(INDEX(rngData,MATCH($B25,rngYear,0),MATCH(OFFSET(E25,-$A25,0),rngColumnNames,0)),"")</f>
        <v>0</v>
      </c>
      <c r="F25" s="11">
        <f>IFERROR(INDEX(rngData,MATCH($B25,rngYear,0),MATCH(OFFSET(F25,-$A25,0),rngColumnNames,0)),"")</f>
        <v>0</v>
      </c>
      <c r="G25" s="11">
        <f t="shared" si="0"/>
        <v>0</v>
      </c>
    </row>
    <row r="26">
      <c r="A26" s="9">
        <f t="shared" si="1"/>
        <v>20</v>
      </c>
      <c r="B26" s="10">
        <f>IF(INDEX(rngYear,A26+1)&lt;&gt;0,INDEX(rngYear,A26+1),"")</f>
        <v>1999</v>
      </c>
      <c r="C26" s="11">
        <f>IFERROR(INDEX(rngData,MATCH($B26,rngYear,0),MATCH(OFFSET(C26,-$A26,0),rngColumnNames,0)),"")</f>
        <v>0</v>
      </c>
      <c r="D26" s="11">
        <f>IFERROR(INDEX(rngData,MATCH($B26,rngYear,0),MATCH(OFFSET(D26,-$A26,0),rngColumnNames,0)),"")</f>
        <v>0</v>
      </c>
      <c r="E26" s="11">
        <f>IFERROR(INDEX(rngData,MATCH($B26,rngYear,0),MATCH(OFFSET(E26,-$A26,0),rngColumnNames,0)),"")</f>
        <v>0</v>
      </c>
      <c r="F26" s="11">
        <f>IFERROR(INDEX(rngData,MATCH($B26,rngYear,0),MATCH(OFFSET(F26,-$A26,0),rngColumnNames,0)),"")</f>
        <v>0</v>
      </c>
      <c r="G26" s="11">
        <f t="shared" si="0"/>
        <v>0</v>
      </c>
    </row>
    <row r="27">
      <c r="A27" s="9">
        <f t="shared" si="1"/>
        <v>21</v>
      </c>
      <c r="B27" s="10">
        <f>IF(INDEX(rngYear,A27+1)&lt;&gt;0,INDEX(rngYear,A27+1),"")</f>
        <v>2000</v>
      </c>
      <c r="C27" s="11">
        <f>IFERROR(INDEX(rngData,MATCH($B27,rngYear,0),MATCH(OFFSET(C27,-$A27,0),rngColumnNames,0)),"")</f>
        <v>0</v>
      </c>
      <c r="D27" s="11">
        <f>IFERROR(INDEX(rngData,MATCH($B27,rngYear,0),MATCH(OFFSET(D27,-$A27,0),rngColumnNames,0)),"")</f>
        <v>0</v>
      </c>
      <c r="E27" s="11">
        <f>IFERROR(INDEX(rngData,MATCH($B27,rngYear,0),MATCH(OFFSET(E27,-$A27,0),rngColumnNames,0)),"")</f>
        <v>0</v>
      </c>
      <c r="F27" s="11">
        <f>IFERROR(INDEX(rngData,MATCH($B27,rngYear,0),MATCH(OFFSET(F27,-$A27,0),rngColumnNames,0)),"")</f>
        <v>0</v>
      </c>
      <c r="G27" s="11">
        <f t="shared" si="0"/>
        <v>0</v>
      </c>
    </row>
    <row r="28">
      <c r="A28" s="9">
        <f t="shared" si="1"/>
        <v>22</v>
      </c>
      <c r="B28" s="10">
        <f>IF(INDEX(rngYear,A28+1)&lt;&gt;0,INDEX(rngYear,A28+1),"")</f>
        <v>2001</v>
      </c>
      <c r="C28" s="11">
        <f>IFERROR(INDEX(rngData,MATCH($B28,rngYear,0),MATCH(OFFSET(C28,-$A28,0),rngColumnNames,0)),"")</f>
        <v>0</v>
      </c>
      <c r="D28" s="11">
        <f>IFERROR(INDEX(rngData,MATCH($B28,rngYear,0),MATCH(OFFSET(D28,-$A28,0),rngColumnNames,0)),"")</f>
        <v>0</v>
      </c>
      <c r="E28" s="11">
        <f>IFERROR(INDEX(rngData,MATCH($B28,rngYear,0),MATCH(OFFSET(E28,-$A28,0),rngColumnNames,0)),"")</f>
        <v>0</v>
      </c>
      <c r="F28" s="11">
        <f>IFERROR(INDEX(rngData,MATCH($B28,rngYear,0),MATCH(OFFSET(F28,-$A28,0),rngColumnNames,0)),"")</f>
        <v>0</v>
      </c>
      <c r="G28" s="11">
        <f t="shared" si="0"/>
        <v>0</v>
      </c>
    </row>
    <row r="29">
      <c r="A29" s="9">
        <f t="shared" si="1"/>
        <v>23</v>
      </c>
      <c r="B29" s="10">
        <f>IF(INDEX(rngYear,A29+1)&lt;&gt;0,INDEX(rngYear,A29+1),"")</f>
        <v>2002</v>
      </c>
      <c r="C29" s="11">
        <f>IFERROR(INDEX(rngData,MATCH($B29,rngYear,0),MATCH(OFFSET(C29,-$A29,0),rngColumnNames,0)),"")</f>
        <v>0</v>
      </c>
      <c r="D29" s="11">
        <f>IFERROR(INDEX(rngData,MATCH($B29,rngYear,0),MATCH(OFFSET(D29,-$A29,0),rngColumnNames,0)),"")</f>
        <v>0</v>
      </c>
      <c r="E29" s="11">
        <f>IFERROR(INDEX(rngData,MATCH($B29,rngYear,0),MATCH(OFFSET(E29,-$A29,0),rngColumnNames,0)),"")</f>
        <v>0</v>
      </c>
      <c r="F29" s="11">
        <f>IFERROR(INDEX(rngData,MATCH($B29,rngYear,0),MATCH(OFFSET(F29,-$A29,0),rngColumnNames,0)),"")</f>
        <v>0</v>
      </c>
      <c r="G29" s="11">
        <f t="shared" si="0"/>
        <v>0</v>
      </c>
    </row>
    <row r="30">
      <c r="A30" s="9">
        <f t="shared" si="1"/>
        <v>24</v>
      </c>
      <c r="B30" s="10">
        <f>IF(INDEX(rngYear,A30+1)&lt;&gt;0,INDEX(rngYear,A30+1),"")</f>
        <v>2003</v>
      </c>
      <c r="C30" s="11">
        <f>IFERROR(INDEX(rngData,MATCH($B30,rngYear,0),MATCH(OFFSET(C30,-$A30,0),rngColumnNames,0)),"")</f>
        <v>0</v>
      </c>
      <c r="D30" s="11">
        <f>IFERROR(INDEX(rngData,MATCH($B30,rngYear,0),MATCH(OFFSET(D30,-$A30,0),rngColumnNames,0)),"")</f>
        <v>0</v>
      </c>
      <c r="E30" s="11">
        <f>IFERROR(INDEX(rngData,MATCH($B30,rngYear,0),MATCH(OFFSET(E30,-$A30,0),rngColumnNames,0)),"")</f>
        <v>0</v>
      </c>
      <c r="F30" s="11">
        <f>IFERROR(INDEX(rngData,MATCH($B30,rngYear,0),MATCH(OFFSET(F30,-$A30,0),rngColumnNames,0)),"")</f>
        <v>0</v>
      </c>
      <c r="G30" s="11">
        <f t="shared" si="0"/>
        <v>0</v>
      </c>
    </row>
    <row r="31">
      <c r="A31" s="9">
        <f t="shared" si="1"/>
        <v>25</v>
      </c>
      <c r="B31" s="10">
        <f>IF(INDEX(rngYear,A31+1)&lt;&gt;0,INDEX(rngYear,A31+1),"")</f>
        <v>2004</v>
      </c>
      <c r="C31" s="11">
        <f>IFERROR(INDEX(rngData,MATCH($B31,rngYear,0),MATCH(OFFSET(C31,-$A31,0),rngColumnNames,0)),"")</f>
        <v>0</v>
      </c>
      <c r="D31" s="11">
        <f>IFERROR(INDEX(rngData,MATCH($B31,rngYear,0),MATCH(OFFSET(D31,-$A31,0),rngColumnNames,0)),"")</f>
        <v>0</v>
      </c>
      <c r="E31" s="11">
        <f>IFERROR(INDEX(rngData,MATCH($B31,rngYear,0),MATCH(OFFSET(E31,-$A31,0),rngColumnNames,0)),"")</f>
        <v>0</v>
      </c>
      <c r="F31" s="11">
        <f>IFERROR(INDEX(rngData,MATCH($B31,rngYear,0),MATCH(OFFSET(F31,-$A31,0),rngColumnNames,0)),"")</f>
        <v>0</v>
      </c>
      <c r="G31" s="11">
        <f t="shared" si="0"/>
        <v>0</v>
      </c>
    </row>
    <row r="32">
      <c r="A32" s="9">
        <f t="shared" si="1"/>
        <v>26</v>
      </c>
      <c r="B32" s="10">
        <f>IF(INDEX(rngYear,A32+1)&lt;&gt;0,INDEX(rngYear,A32+1),"")</f>
        <v>2005</v>
      </c>
      <c r="C32" s="11">
        <f>IFERROR(INDEX(rngData,MATCH($B32,rngYear,0),MATCH(OFFSET(C32,-$A32,0),rngColumnNames,0)),"")</f>
        <v>0</v>
      </c>
      <c r="D32" s="11">
        <f>IFERROR(INDEX(rngData,MATCH($B32,rngYear,0),MATCH(OFFSET(D32,-$A32,0),rngColumnNames,0)),"")</f>
        <v>0</v>
      </c>
      <c r="E32" s="11">
        <f>IFERROR(INDEX(rngData,MATCH($B32,rngYear,0),MATCH(OFFSET(E32,-$A32,0),rngColumnNames,0)),"")</f>
        <v>0</v>
      </c>
      <c r="F32" s="11">
        <f>IFERROR(INDEX(rngData,MATCH($B32,rngYear,0),MATCH(OFFSET(F32,-$A32,0),rngColumnNames,0)),"")</f>
        <v>0</v>
      </c>
      <c r="G32" s="11">
        <f t="shared" si="0"/>
        <v>0</v>
      </c>
    </row>
    <row r="33">
      <c r="A33" s="9">
        <f t="shared" si="1"/>
        <v>27</v>
      </c>
      <c r="B33" s="10">
        <f>IF(INDEX(rngYear,A33+1)&lt;&gt;0,INDEX(rngYear,A33+1),"")</f>
        <v>2006</v>
      </c>
      <c r="C33" s="11">
        <f>IFERROR(INDEX(rngData,MATCH($B33,rngYear,0),MATCH(OFFSET(C33,-$A33,0),rngColumnNames,0)),"")</f>
        <v>0</v>
      </c>
      <c r="D33" s="11">
        <f>IFERROR(INDEX(rngData,MATCH($B33,rngYear,0),MATCH(OFFSET(D33,-$A33,0),rngColumnNames,0)),"")</f>
        <v>0</v>
      </c>
      <c r="E33" s="11">
        <f>IFERROR(INDEX(rngData,MATCH($B33,rngYear,0),MATCH(OFFSET(E33,-$A33,0),rngColumnNames,0)),"")</f>
        <v>0</v>
      </c>
      <c r="F33" s="11">
        <f>IFERROR(INDEX(rngData,MATCH($B33,rngYear,0),MATCH(OFFSET(F33,-$A33,0),rngColumnNames,0)),"")</f>
        <v>0</v>
      </c>
      <c r="G33" s="11">
        <f t="shared" si="0"/>
        <v>0</v>
      </c>
    </row>
    <row r="34">
      <c r="A34" s="9">
        <f t="shared" si="1"/>
        <v>28</v>
      </c>
      <c r="B34" s="10">
        <f>IF(INDEX(rngYear,A34+1)&lt;&gt;0,INDEX(rngYear,A34+1),"")</f>
        <v>2007</v>
      </c>
      <c r="C34" s="11">
        <f>IFERROR(INDEX(rngData,MATCH($B34,rngYear,0),MATCH(OFFSET(C34,-$A34,0),rngColumnNames,0)),"")</f>
        <v>0</v>
      </c>
      <c r="D34" s="11">
        <f>IFERROR(INDEX(rngData,MATCH($B34,rngYear,0),MATCH(OFFSET(D34,-$A34,0),rngColumnNames,0)),"")</f>
        <v>0</v>
      </c>
      <c r="E34" s="11">
        <f>IFERROR(INDEX(rngData,MATCH($B34,rngYear,0),MATCH(OFFSET(E34,-$A34,0),rngColumnNames,0)),"")</f>
        <v>0</v>
      </c>
      <c r="F34" s="11">
        <f>IFERROR(INDEX(rngData,MATCH($B34,rngYear,0),MATCH(OFFSET(F34,-$A34,0),rngColumnNames,0)),"")</f>
        <v>0</v>
      </c>
      <c r="G34" s="11">
        <f t="shared" si="0"/>
        <v>0</v>
      </c>
    </row>
    <row r="35">
      <c r="A35" s="9">
        <f t="shared" si="1"/>
        <v>29</v>
      </c>
      <c r="B35" s="10">
        <f>IF(INDEX(rngYear,A35+1)&lt;&gt;0,INDEX(rngYear,A35+1),"")</f>
        <v>2008</v>
      </c>
      <c r="C35" s="11">
        <f>IFERROR(INDEX(rngData,MATCH($B35,rngYear,0),MATCH(OFFSET(C35,-$A35,0),rngColumnNames,0)),"")</f>
        <v>0</v>
      </c>
      <c r="D35" s="11">
        <f>IFERROR(INDEX(rngData,MATCH($B35,rngYear,0),MATCH(OFFSET(D35,-$A35,0),rngColumnNames,0)),"")</f>
        <v>0</v>
      </c>
      <c r="E35" s="11">
        <f>IFERROR(INDEX(rngData,MATCH($B35,rngYear,0),MATCH(OFFSET(E35,-$A35,0),rngColumnNames,0)),"")</f>
        <v>0</v>
      </c>
      <c r="F35" s="11">
        <f>IFERROR(INDEX(rngData,MATCH($B35,rngYear,0),MATCH(OFFSET(F35,-$A35,0),rngColumnNames,0)),"")</f>
        <v>0</v>
      </c>
      <c r="G35" s="11">
        <f t="shared" si="0"/>
        <v>0</v>
      </c>
    </row>
    <row r="36">
      <c r="A36" s="9">
        <f t="shared" si="1"/>
        <v>30</v>
      </c>
      <c r="B36" s="10">
        <f>IF(INDEX(rngYear,A36+1)&lt;&gt;0,INDEX(rngYear,A36+1),"")</f>
        <v>2009</v>
      </c>
      <c r="C36" s="11">
        <f>IFERROR(INDEX(rngData,MATCH($B36,rngYear,0),MATCH(OFFSET(C36,-$A36,0),rngColumnNames,0)),"")</f>
        <v>0</v>
      </c>
      <c r="D36" s="11">
        <f>IFERROR(INDEX(rngData,MATCH($B36,rngYear,0),MATCH(OFFSET(D36,-$A36,0),rngColumnNames,0)),"")</f>
        <v>0</v>
      </c>
      <c r="E36" s="11">
        <f>IFERROR(INDEX(rngData,MATCH($B36,rngYear,0),MATCH(OFFSET(E36,-$A36,0),rngColumnNames,0)),"")</f>
        <v>0</v>
      </c>
      <c r="F36" s="11">
        <f>IFERROR(INDEX(rngData,MATCH($B36,rngYear,0),MATCH(OFFSET(F36,-$A36,0),rngColumnNames,0)),"")</f>
        <v>0</v>
      </c>
      <c r="G36" s="11">
        <f t="shared" si="0"/>
        <v>0</v>
      </c>
    </row>
    <row r="37">
      <c r="A37" s="9">
        <f t="shared" si="1"/>
        <v>31</v>
      </c>
      <c r="B37" s="10">
        <f>IF(INDEX(rngYear,A37+1)&lt;&gt;0,INDEX(rngYear,A37+1),"")</f>
        <v>2010</v>
      </c>
      <c r="C37" s="11">
        <f>IFERROR(INDEX(rngData,MATCH($B37,rngYear,0),MATCH(OFFSET(C37,-$A37,0),rngColumnNames,0)),"")</f>
        <v>0</v>
      </c>
      <c r="D37" s="11">
        <f>IFERROR(INDEX(rngData,MATCH($B37,rngYear,0),MATCH(OFFSET(D37,-$A37,0),rngColumnNames,0)),"")</f>
        <v>0</v>
      </c>
      <c r="E37" s="11">
        <f>IFERROR(INDEX(rngData,MATCH($B37,rngYear,0),MATCH(OFFSET(E37,-$A37,0),rngColumnNames,0)),"")</f>
        <v>0</v>
      </c>
      <c r="F37" s="11">
        <f>IFERROR(INDEX(rngData,MATCH($B37,rngYear,0),MATCH(OFFSET(F37,-$A37,0),rngColumnNames,0)),"")</f>
        <v>0</v>
      </c>
      <c r="G37" s="11">
        <f t="shared" si="0"/>
        <v>0</v>
      </c>
    </row>
    <row r="38">
      <c r="A38" s="9">
        <f t="shared" si="1"/>
        <v>32</v>
      </c>
      <c r="B38" s="10">
        <f>IF(INDEX(rngYear,A38+1)&lt;&gt;0,INDEX(rngYear,A38+1),"")</f>
        <v>2011</v>
      </c>
      <c r="C38" s="11">
        <f>IFERROR(INDEX(rngData,MATCH($B38,rngYear,0),MATCH(OFFSET(C38,-$A38,0),rngColumnNames,0)),"")</f>
        <v>0</v>
      </c>
      <c r="D38" s="11">
        <f>IFERROR(INDEX(rngData,MATCH($B38,rngYear,0),MATCH(OFFSET(D38,-$A38,0),rngColumnNames,0)),"")</f>
        <v>0</v>
      </c>
      <c r="E38" s="11">
        <f>IFERROR(INDEX(rngData,MATCH($B38,rngYear,0),MATCH(OFFSET(E38,-$A38,0),rngColumnNames,0)),"")</f>
        <v>0</v>
      </c>
      <c r="F38" s="11">
        <f>IFERROR(INDEX(rngData,MATCH($B38,rngYear,0),MATCH(OFFSET(F38,-$A38,0),rngColumnNames,0)),"")</f>
        <v>0</v>
      </c>
      <c r="G38" s="11">
        <f t="shared" si="0"/>
        <v>0</v>
      </c>
    </row>
    <row r="39">
      <c r="A39" s="9">
        <f t="shared" si="1"/>
        <v>33</v>
      </c>
      <c r="B39" s="10">
        <f>IF(INDEX(rngYear,A39+1)&lt;&gt;0,INDEX(rngYear,A39+1),"")</f>
        <v>2012</v>
      </c>
      <c r="C39" s="11">
        <f>IFERROR(INDEX(rngData,MATCH($B39,rngYear,0),MATCH(OFFSET(C39,-$A39,0),rngColumnNames,0)),"")</f>
        <v>0</v>
      </c>
      <c r="D39" s="11">
        <f>IFERROR(INDEX(rngData,MATCH($B39,rngYear,0),MATCH(OFFSET(D39,-$A39,0),rngColumnNames,0)),"")</f>
        <v>0</v>
      </c>
      <c r="E39" s="11">
        <f>IFERROR(INDEX(rngData,MATCH($B39,rngYear,0),MATCH(OFFSET(E39,-$A39,0),rngColumnNames,0)),"")</f>
        <v>0</v>
      </c>
      <c r="F39" s="11">
        <f>IFERROR(INDEX(rngData,MATCH($B39,rngYear,0),MATCH(OFFSET(F39,-$A39,0),rngColumnNames,0)),"")</f>
        <v>0</v>
      </c>
      <c r="G39" s="11">
        <f ref="G39:G66" t="shared" si="2">IFERROR(F39-E39,"")</f>
        <v>0</v>
      </c>
    </row>
    <row r="40" hidden="1">
      <c r="A40" s="9">
        <f ref="A40:A66" t="shared" si="3">A39+1</f>
        <v>34</v>
      </c>
      <c r="B40" s="10">
        <f>IF(INDEX(rngYear,A40+1)&lt;&gt;0,INDEX(rngYear,A40+1),"")</f>
      </c>
      <c r="C40" s="11">
        <f>IFERROR(INDEX(rngData,MATCH($B40,rngYear,0),MATCH(OFFSET(C40,-$A40,0),rngColumnNames,0)),"")</f>
      </c>
      <c r="D40" s="11">
        <f>IFERROR(INDEX(rngData,MATCH($B40,rngYear,0),MATCH(OFFSET(D40,-$A40,0),rngColumnNames,0)),"")</f>
      </c>
      <c r="E40" s="11">
        <f>IFERROR(INDEX(rngData,MATCH($B40,rngYear,0),MATCH(OFFSET(E40,-$A40,0),rngColumnNames,0)),"")</f>
      </c>
      <c r="F40" s="11">
        <f>IFERROR(INDEX(rngData,MATCH($B40,rngYear,0),MATCH(OFFSET(F40,-$A40,0),rngColumnNames,0)),"")</f>
      </c>
      <c r="G40" s="11">
        <f t="shared" si="2"/>
      </c>
    </row>
    <row r="41" hidden="1">
      <c r="A41" s="9">
        <f t="shared" si="3"/>
        <v>35</v>
      </c>
      <c r="B41" s="10">
        <f>IF(INDEX(rngYear,A41+1)&lt;&gt;0,INDEX(rngYear,A41+1),"")</f>
      </c>
      <c r="C41" s="11">
        <f>IFERROR(INDEX(rngData,MATCH($B41,rngYear,0),MATCH(OFFSET(C41,-$A41,0),rngColumnNames,0)),"")</f>
      </c>
      <c r="D41" s="11">
        <f>IFERROR(INDEX(rngData,MATCH($B41,rngYear,0),MATCH(OFFSET(D41,-$A41,0),rngColumnNames,0)),"")</f>
      </c>
      <c r="E41" s="11">
        <f>IFERROR(INDEX(rngData,MATCH($B41,rngYear,0),MATCH(OFFSET(E41,-$A41,0),rngColumnNames,0)),"")</f>
      </c>
      <c r="F41" s="11">
        <f>IFERROR(INDEX(rngData,MATCH($B41,rngYear,0),MATCH(OFFSET(F41,-$A41,0),rngColumnNames,0)),"")</f>
      </c>
      <c r="G41" s="11">
        <f t="shared" si="2"/>
      </c>
    </row>
    <row r="42" hidden="1">
      <c r="A42" s="9">
        <f t="shared" si="3"/>
        <v>36</v>
      </c>
      <c r="B42" s="10">
        <f>IF(INDEX(rngYear,A42+1)&lt;&gt;0,INDEX(rngYear,A42+1),"")</f>
      </c>
      <c r="C42" s="11">
        <f>IFERROR(INDEX(rngData,MATCH($B42,rngYear,0),MATCH(OFFSET(C42,-$A42,0),rngColumnNames,0)),"")</f>
      </c>
      <c r="D42" s="11">
        <f>IFERROR(INDEX(rngData,MATCH($B42,rngYear,0),MATCH(OFFSET(D42,-$A42,0),rngColumnNames,0)),"")</f>
      </c>
      <c r="E42" s="11">
        <f>IFERROR(INDEX(rngData,MATCH($B42,rngYear,0),MATCH(OFFSET(E42,-$A42,0),rngColumnNames,0)),"")</f>
      </c>
      <c r="F42" s="11">
        <f>IFERROR(INDEX(rngData,MATCH($B42,rngYear,0),MATCH(OFFSET(F42,-$A42,0),rngColumnNames,0)),"")</f>
      </c>
      <c r="G42" s="11">
        <f t="shared" si="2"/>
      </c>
    </row>
    <row r="43" hidden="1">
      <c r="A43" s="9">
        <f t="shared" si="3"/>
        <v>37</v>
      </c>
      <c r="B43" s="10">
        <f>IF(INDEX(rngYear,A43+1)&lt;&gt;0,INDEX(rngYear,A43+1),"")</f>
      </c>
      <c r="C43" s="11">
        <f>IFERROR(INDEX(rngData,MATCH($B43,rngYear,0),MATCH(OFFSET(C43,-$A43,0),rngColumnNames,0)),"")</f>
      </c>
      <c r="D43" s="11">
        <f>IFERROR(INDEX(rngData,MATCH($B43,rngYear,0),MATCH(OFFSET(D43,-$A43,0),rngColumnNames,0)),"")</f>
      </c>
      <c r="E43" s="11">
        <f>IFERROR(INDEX(rngData,MATCH($B43,rngYear,0),MATCH(OFFSET(E43,-$A43,0),rngColumnNames,0)),"")</f>
      </c>
      <c r="F43" s="11">
        <f>IFERROR(INDEX(rngData,MATCH($B43,rngYear,0),MATCH(OFFSET(F43,-$A43,0),rngColumnNames,0)),"")</f>
      </c>
      <c r="G43" s="11">
        <f t="shared" si="2"/>
      </c>
    </row>
    <row r="44" hidden="1">
      <c r="A44" s="9">
        <f t="shared" si="3"/>
        <v>38</v>
      </c>
      <c r="B44" s="10">
        <f>IF(INDEX(rngYear,A44+1)&lt;&gt;0,INDEX(rngYear,A44+1),"")</f>
      </c>
      <c r="C44" s="11">
        <f>IFERROR(INDEX(rngData,MATCH($B44,rngYear,0),MATCH(OFFSET(C44,-$A44,0),rngColumnNames,0)),"")</f>
      </c>
      <c r="D44" s="11">
        <f>IFERROR(INDEX(rngData,MATCH($B44,rngYear,0),MATCH(OFFSET(D44,-$A44,0),rngColumnNames,0)),"")</f>
      </c>
      <c r="E44" s="11">
        <f>IFERROR(INDEX(rngData,MATCH($B44,rngYear,0),MATCH(OFFSET(E44,-$A44,0),rngColumnNames,0)),"")</f>
      </c>
      <c r="F44" s="11">
        <f>IFERROR(INDEX(rngData,MATCH($B44,rngYear,0),MATCH(OFFSET(F44,-$A44,0),rngColumnNames,0)),"")</f>
      </c>
      <c r="G44" s="11">
        <f t="shared" si="2"/>
      </c>
    </row>
    <row r="45" hidden="1">
      <c r="A45" s="9">
        <f t="shared" si="3"/>
        <v>39</v>
      </c>
      <c r="B45" s="10">
        <f>IF(INDEX(rngYear,A45+1)&lt;&gt;0,INDEX(rngYear,A45+1),"")</f>
      </c>
      <c r="C45" s="11">
        <f>IFERROR(INDEX(rngData,MATCH($B45,rngYear,0),MATCH(OFFSET(C45,-$A45,0),rngColumnNames,0)),"")</f>
      </c>
      <c r="D45" s="11">
        <f>IFERROR(INDEX(rngData,MATCH($B45,rngYear,0),MATCH(OFFSET(D45,-$A45,0),rngColumnNames,0)),"")</f>
      </c>
      <c r="E45" s="11">
        <f>IFERROR(INDEX(rngData,MATCH($B45,rngYear,0),MATCH(OFFSET(E45,-$A45,0),rngColumnNames,0)),"")</f>
      </c>
      <c r="F45" s="11">
        <f>IFERROR(INDEX(rngData,MATCH($B45,rngYear,0),MATCH(OFFSET(F45,-$A45,0),rngColumnNames,0)),"")</f>
      </c>
      <c r="G45" s="11">
        <f t="shared" si="2"/>
      </c>
    </row>
    <row r="46" hidden="1">
      <c r="A46" s="9">
        <f t="shared" si="3"/>
        <v>40</v>
      </c>
      <c r="B46" s="10">
        <f>IF(INDEX(rngYear,A46+1)&lt;&gt;0,INDEX(rngYear,A46+1),"")</f>
      </c>
      <c r="C46" s="11">
        <f>IFERROR(INDEX(rngData,MATCH($B46,rngYear,0),MATCH(OFFSET(C46,-$A46,0),rngColumnNames,0)),"")</f>
      </c>
      <c r="D46" s="11">
        <f>IFERROR(INDEX(rngData,MATCH($B46,rngYear,0),MATCH(OFFSET(D46,-$A46,0),rngColumnNames,0)),"")</f>
      </c>
      <c r="E46" s="11">
        <f>IFERROR(INDEX(rngData,MATCH($B46,rngYear,0),MATCH(OFFSET(E46,-$A46,0),rngColumnNames,0)),"")</f>
      </c>
      <c r="F46" s="11">
        <f>IFERROR(INDEX(rngData,MATCH($B46,rngYear,0),MATCH(OFFSET(F46,-$A46,0),rngColumnNames,0)),"")</f>
      </c>
      <c r="G46" s="11">
        <f t="shared" si="2"/>
      </c>
    </row>
    <row r="47" hidden="1">
      <c r="A47" s="9">
        <f t="shared" si="3"/>
        <v>41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>IFERROR(INDEX(rngData,MATCH($B47,rngYear,0),MATCH(OFFSET(F47,-$A47,0),rngColumnNames,0)),"")</f>
      </c>
      <c r="G47" s="11">
        <f t="shared" si="2"/>
      </c>
    </row>
    <row r="48" hidden="1">
      <c r="A48" s="9">
        <f t="shared" si="3"/>
        <v>42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>IFERROR(INDEX(rngData,MATCH($B48,rngYear,0),MATCH(OFFSET(F48,-$A48,0),rngColumnNames,0)),"")</f>
      </c>
      <c r="G48" s="11">
        <f t="shared" si="2"/>
      </c>
    </row>
    <row r="49" hidden="1">
      <c r="A49" s="9">
        <f t="shared" si="3"/>
        <v>43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>IFERROR(INDEX(rngData,MATCH($B49,rngYear,0),MATCH(OFFSET(F49,-$A49,0),rngColumnNames,0)),"")</f>
      </c>
      <c r="G49" s="11">
        <f t="shared" si="2"/>
      </c>
    </row>
    <row r="50" hidden="1">
      <c r="A50" s="9">
        <f t="shared" si="3"/>
        <v>44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>IFERROR(INDEX(rngData,MATCH($B50,rngYear,0),MATCH(OFFSET(F50,-$A50,0),rngColumnNames,0)),"")</f>
      </c>
      <c r="G50" s="11">
        <f t="shared" si="2"/>
      </c>
    </row>
    <row r="51" hidden="1">
      <c r="A51" s="9">
        <f t="shared" si="3"/>
        <v>45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>IFERROR(INDEX(rngData,MATCH($B51,rngYear,0),MATCH(OFFSET(F51,-$A51,0),rngColumnNames,0)),"")</f>
      </c>
      <c r="G51" s="11">
        <f t="shared" si="2"/>
      </c>
    </row>
    <row r="52" hidden="1">
      <c r="A52" s="9">
        <f t="shared" si="3"/>
        <v>46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>IFERROR(INDEX(rngData,MATCH($B52,rngYear,0),MATCH(OFFSET(F52,-$A52,0),rngColumnNames,0)),"")</f>
      </c>
      <c r="G52" s="11">
        <f t="shared" si="2"/>
      </c>
    </row>
    <row r="53" hidden="1">
      <c r="A53" s="9">
        <f t="shared" si="3"/>
        <v>47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>IFERROR(INDEX(rngData,MATCH($B53,rngYear,0),MATCH(OFFSET(F53,-$A53,0),rngColumnNames,0)),"")</f>
      </c>
      <c r="G53" s="11">
        <f t="shared" si="2"/>
      </c>
    </row>
    <row r="54" hidden="1">
      <c r="A54" s="9">
        <f t="shared" si="3"/>
        <v>48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>IFERROR(INDEX(rngData,MATCH($B54,rngYear,0),MATCH(OFFSET(F54,-$A54,0),rngColumnNames,0)),"")</f>
      </c>
      <c r="G54" s="11">
        <f t="shared" si="2"/>
      </c>
    </row>
    <row r="55" hidden="1">
      <c r="A55" s="9">
        <f t="shared" si="3"/>
        <v>49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>IFERROR(INDEX(rngData,MATCH($B55,rngYear,0),MATCH(OFFSET(F55,-$A55,0),rngColumnNames,0)),"")</f>
      </c>
      <c r="G55" s="11">
        <f t="shared" si="2"/>
      </c>
    </row>
    <row r="56" hidden="1">
      <c r="A56" s="9">
        <f t="shared" si="3"/>
        <v>50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>IFERROR(INDEX(rngData,MATCH($B56,rngYear,0),MATCH(OFFSET(F56,-$A56,0),rngColumnNames,0)),"")</f>
      </c>
      <c r="G56" s="11">
        <f t="shared" si="2"/>
      </c>
    </row>
    <row r="57" hidden="1">
      <c r="A57" s="9">
        <f t="shared" si="3"/>
        <v>51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>IFERROR(INDEX(rngData,MATCH($B57,rngYear,0),MATCH(OFFSET(F57,-$A57,0),rngColumnNames,0)),"")</f>
      </c>
      <c r="G57" s="11">
        <f t="shared" si="2"/>
      </c>
    </row>
    <row r="58" hidden="1">
      <c r="A58" s="9">
        <f t="shared" si="3"/>
        <v>52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>IFERROR(INDEX(rngData,MATCH($B58,rngYear,0),MATCH(OFFSET(F58,-$A58,0),rngColumnNames,0)),"")</f>
      </c>
      <c r="G58" s="11">
        <f t="shared" si="2"/>
      </c>
    </row>
    <row r="59" hidden="1">
      <c r="A59" s="9">
        <f t="shared" si="3"/>
        <v>53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>IFERROR(INDEX(rngData,MATCH($B59,rngYear,0),MATCH(OFFSET(F59,-$A59,0),rngColumnNames,0)),"")</f>
      </c>
      <c r="G59" s="11">
        <f t="shared" si="2"/>
      </c>
    </row>
    <row r="60" hidden="1">
      <c r="A60" s="9">
        <f t="shared" si="3"/>
        <v>54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>IFERROR(INDEX(rngData,MATCH($B60,rngYear,0),MATCH(OFFSET(F60,-$A60,0),rngColumnNames,0)),"")</f>
      </c>
      <c r="G60" s="11">
        <f t="shared" si="2"/>
      </c>
    </row>
    <row r="61" hidden="1">
      <c r="A61" s="9">
        <f t="shared" si="3"/>
        <v>55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>IFERROR(INDEX(rngData,MATCH($B61,rngYear,0),MATCH(OFFSET(F61,-$A61,0),rngColumnNames,0)),"")</f>
      </c>
      <c r="G61" s="11">
        <f t="shared" si="2"/>
      </c>
    </row>
    <row r="62" hidden="1">
      <c r="A62" s="9">
        <f t="shared" si="3"/>
        <v>56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>IFERROR(INDEX(rngData,MATCH($B62,rngYear,0),MATCH(OFFSET(F62,-$A62,0),rngColumnNames,0)),"")</f>
      </c>
      <c r="G62" s="11">
        <f t="shared" si="2"/>
      </c>
    </row>
    <row r="63" hidden="1">
      <c r="A63" s="9">
        <f t="shared" si="3"/>
        <v>57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>IFERROR(INDEX(rngData,MATCH($B63,rngYear,0),MATCH(OFFSET(F63,-$A63,0),rngColumnNames,0)),"")</f>
      </c>
      <c r="G63" s="11">
        <f t="shared" si="2"/>
      </c>
    </row>
    <row r="64" hidden="1">
      <c r="A64" s="9">
        <f t="shared" si="3"/>
        <v>58</v>
      </c>
      <c r="B64" s="10">
        <f>IF(INDEX(rngYear,A64+1)&lt;&gt;0,INDEX(rngYear,A64+1),"")</f>
      </c>
      <c r="C64" s="11">
        <f>IFERROR(INDEX(rngData,MATCH($B64,rngYear,0),MATCH(OFFSET(C64,-$A64,0),rngColumnNames,0)),"")</f>
      </c>
      <c r="D64" s="11">
        <f>IFERROR(INDEX(rngData,MATCH($B64,rngYear,0),MATCH(OFFSET(D64,-$A64,0),rngColumnNames,0)),"")</f>
      </c>
      <c r="E64" s="11">
        <f>IFERROR(INDEX(rngData,MATCH($B64,rngYear,0),MATCH(OFFSET(E64,-$A64,0),rngColumnNames,0)),"")</f>
      </c>
      <c r="F64" s="11">
        <f>IFERROR(INDEX(rngData,MATCH($B64,rngYear,0),MATCH(OFFSET(F64,-$A64,0),rngColumnNames,0)),"")</f>
      </c>
      <c r="G64" s="11">
        <f t="shared" si="2"/>
      </c>
    </row>
    <row r="65" hidden="1">
      <c r="A65" s="9">
        <f t="shared" si="3"/>
        <v>59</v>
      </c>
      <c r="B65" s="10">
        <f>IF(INDEX(rngYear,A65+1)&lt;&gt;0,INDEX(rngYear,A65+1),"")</f>
      </c>
      <c r="C65" s="11">
        <f>IFERROR(INDEX(rngData,MATCH($B65,rngYear,0),MATCH(OFFSET(C65,-$A65,0),rngColumnNames,0)),"")</f>
      </c>
      <c r="D65" s="11">
        <f>IFERROR(INDEX(rngData,MATCH($B65,rngYear,0),MATCH(OFFSET(D65,-$A65,0),rngColumnNames,0)),"")</f>
      </c>
      <c r="E65" s="11">
        <f>IFERROR(INDEX(rngData,MATCH($B65,rngYear,0),MATCH(OFFSET(E65,-$A65,0),rngColumnNames,0)),"")</f>
      </c>
      <c r="F65" s="11">
        <f>IFERROR(INDEX(rngData,MATCH($B65,rngYear,0),MATCH(OFFSET(F65,-$A65,0),rngColumnNames,0)),"")</f>
      </c>
      <c r="G65" s="11">
        <f t="shared" si="2"/>
      </c>
    </row>
    <row r="66" hidden="1">
      <c r="A66" s="9">
        <f t="shared" si="3"/>
        <v>60</v>
      </c>
      <c r="B66" s="10">
        <f>IF(INDEX(rngYear,A66+1)&lt;&gt;0,INDEX(rngYear,A66+1),"")</f>
      </c>
      <c r="C66" s="11">
        <f>IFERROR(INDEX(rngData,MATCH($B66,rngYear,0),MATCH(OFFSET(C66,-$A66,0),rngColumnNames,0)),"")</f>
      </c>
      <c r="D66" s="11">
        <f>IFERROR(INDEX(rngData,MATCH($B66,rngYear,0),MATCH(OFFSET(D66,-$A66,0),rngColumnNames,0)),"")</f>
      </c>
      <c r="E66" s="11">
        <f>IFERROR(INDEX(rngData,MATCH($B66,rngYear,0),MATCH(OFFSET(E66,-$A66,0),rngColumnNames,0)),"")</f>
      </c>
      <c r="F66" s="11">
        <f>IFERROR(INDEX(rngData,MATCH($B66,rngYear,0),MATCH(OFFSET(F66,-$A66,0),rngColumnNames,0)),"")</f>
      </c>
      <c r="G66" s="11">
        <f t="shared" si="2"/>
      </c>
    </row>
    <row r="68" ht="19.5" customHeight="1">
      <c r="A68" s="16" t="s">
        <v>96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</row>
    <row r="69" ht="15" customHeight="1">
      <c r="B69" s="4"/>
      <c r="C69" s="5" t="s">
        <v>95</v>
      </c>
      <c r="D69" s="5" t="s">
        <v>81</v>
      </c>
      <c r="E69" s="17" t="s">
        <v>82</v>
      </c>
      <c r="F69" s="18"/>
      <c r="G69" s="19"/>
    </row>
    <row r="70" ht="22.5" customHeight="1">
      <c r="A70" s="6" t="s">
        <v>83</v>
      </c>
      <c r="B70" s="7" t="s">
        <v>4</v>
      </c>
      <c r="C70" s="7" t="s">
        <v>7</v>
      </c>
      <c r="D70" s="7" t="s">
        <v>11</v>
      </c>
      <c r="E70" s="7" t="s">
        <v>34</v>
      </c>
      <c r="F70" s="7" t="s">
        <v>35</v>
      </c>
      <c r="G70" s="8" t="s">
        <v>82</v>
      </c>
    </row>
    <row r="71">
      <c r="A71" s="9">
        <v>1</v>
      </c>
      <c r="B71" s="10">
        <f>IF(INDEX(rngYear,A71+1)&lt;&gt;0,INDEX(rngYear,A71+1),"")</f>
        <v>1980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>IFERROR(INDEX(rngData,MATCH($B71,rngYear,0),MATCH(OFFSET(F71,-$A71,0),rngColumnNames,0)),"")</f>
        <v>0</v>
      </c>
      <c r="G71" s="11">
        <f ref="G71:G102" t="shared" si="4">IFERROR(F71-E71,"")</f>
        <v>0</v>
      </c>
    </row>
    <row r="72">
      <c r="A72" s="9">
        <f ref="A72:A103" t="shared" si="5">A71+1</f>
        <v>2</v>
      </c>
      <c r="B72" s="10">
        <f>IF(INDEX(rngYear,A72+1)&lt;&gt;0,INDEX(rngYear,A72+1),"")</f>
        <v>1981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>IFERROR(INDEX(rngData,MATCH($B72,rngYear,0),MATCH(OFFSET(F72,-$A72,0),rngColumnNames,0)),"")</f>
        <v>0</v>
      </c>
      <c r="G72" s="11">
        <f t="shared" si="4"/>
        <v>0</v>
      </c>
    </row>
    <row r="73">
      <c r="A73" s="9">
        <f t="shared" si="5"/>
        <v>3</v>
      </c>
      <c r="B73" s="10">
        <f>IF(INDEX(rngYear,A73+1)&lt;&gt;0,INDEX(rngYear,A73+1),"")</f>
        <v>1982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>IFERROR(INDEX(rngData,MATCH($B73,rngYear,0),MATCH(OFFSET(F73,-$A73,0),rngColumnNames,0)),"")</f>
        <v>0</v>
      </c>
      <c r="G73" s="11">
        <f t="shared" si="4"/>
        <v>0</v>
      </c>
    </row>
    <row r="74">
      <c r="A74" s="9">
        <f t="shared" si="5"/>
        <v>4</v>
      </c>
      <c r="B74" s="10">
        <f>IF(INDEX(rngYear,A74+1)&lt;&gt;0,INDEX(rngYear,A74+1),"")</f>
        <v>1983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>IFERROR(INDEX(rngData,MATCH($B74,rngYear,0),MATCH(OFFSET(F74,-$A74,0),rngColumnNames,0)),"")</f>
        <v>0</v>
      </c>
      <c r="G74" s="11">
        <f t="shared" si="4"/>
        <v>0</v>
      </c>
    </row>
    <row r="75">
      <c r="A75" s="9">
        <f t="shared" si="5"/>
        <v>5</v>
      </c>
      <c r="B75" s="10">
        <f>IF(INDEX(rngYear,A75+1)&lt;&gt;0,INDEX(rngYear,A75+1),"")</f>
        <v>1984</v>
      </c>
      <c r="C75" s="11">
        <f>IFERROR(INDEX(rngData,MATCH($B75,rngYear,0),MATCH(OFFSET(C75,-$A75,0),rngColumnNames,0)),"")</f>
        <v>0</v>
      </c>
      <c r="D75" s="11">
        <f>IFERROR(INDEX(rngData,MATCH($B75,rngYear,0),MATCH(OFFSET(D75,-$A75,0),rngColumnNames,0)),"")</f>
        <v>0</v>
      </c>
      <c r="E75" s="11">
        <f>IFERROR(INDEX(rngData,MATCH($B75,rngYear,0),MATCH(OFFSET(E75,-$A75,0),rngColumnNames,0)),"")</f>
        <v>0</v>
      </c>
      <c r="F75" s="11">
        <f>IFERROR(INDEX(rngData,MATCH($B75,rngYear,0),MATCH(OFFSET(F75,-$A75,0),rngColumnNames,0)),"")</f>
        <v>0</v>
      </c>
      <c r="G75" s="11">
        <f t="shared" si="4"/>
        <v>0</v>
      </c>
    </row>
    <row r="76">
      <c r="A76" s="9">
        <f t="shared" si="5"/>
        <v>6</v>
      </c>
      <c r="B76" s="10">
        <f>IF(INDEX(rngYear,A76+1)&lt;&gt;0,INDEX(rngYear,A76+1),"")</f>
        <v>1985</v>
      </c>
      <c r="C76" s="11">
        <f>IFERROR(INDEX(rngData,MATCH($B76,rngYear,0),MATCH(OFFSET(C76,-$A76,0),rngColumnNames,0)),"")</f>
        <v>0</v>
      </c>
      <c r="D76" s="11">
        <f>IFERROR(INDEX(rngData,MATCH($B76,rngYear,0),MATCH(OFFSET(D76,-$A76,0),rngColumnNames,0)),"")</f>
        <v>0</v>
      </c>
      <c r="E76" s="11">
        <f>IFERROR(INDEX(rngData,MATCH($B76,rngYear,0),MATCH(OFFSET(E76,-$A76,0),rngColumnNames,0)),"")</f>
        <v>0</v>
      </c>
      <c r="F76" s="11">
        <f>IFERROR(INDEX(rngData,MATCH($B76,rngYear,0),MATCH(OFFSET(F76,-$A76,0),rngColumnNames,0)),"")</f>
        <v>0</v>
      </c>
      <c r="G76" s="11">
        <f t="shared" si="4"/>
        <v>0</v>
      </c>
    </row>
    <row r="77">
      <c r="A77" s="9">
        <f t="shared" si="5"/>
        <v>7</v>
      </c>
      <c r="B77" s="10">
        <f>IF(INDEX(rngYear,A77+1)&lt;&gt;0,INDEX(rngYear,A77+1),"")</f>
        <v>1986</v>
      </c>
      <c r="C77" s="11">
        <f>IFERROR(INDEX(rngData,MATCH($B77,rngYear,0),MATCH(OFFSET(C77,-$A77,0),rngColumnNames,0)),"")</f>
        <v>0</v>
      </c>
      <c r="D77" s="11">
        <f>IFERROR(INDEX(rngData,MATCH($B77,rngYear,0),MATCH(OFFSET(D77,-$A77,0),rngColumnNames,0)),"")</f>
        <v>0</v>
      </c>
      <c r="E77" s="11">
        <f>IFERROR(INDEX(rngData,MATCH($B77,rngYear,0),MATCH(OFFSET(E77,-$A77,0),rngColumnNames,0)),"")</f>
        <v>0</v>
      </c>
      <c r="F77" s="11">
        <f>IFERROR(INDEX(rngData,MATCH($B77,rngYear,0),MATCH(OFFSET(F77,-$A77,0),rngColumnNames,0)),"")</f>
        <v>0</v>
      </c>
      <c r="G77" s="11">
        <f t="shared" si="4"/>
        <v>0</v>
      </c>
    </row>
    <row r="78">
      <c r="A78" s="9">
        <f t="shared" si="5"/>
        <v>8</v>
      </c>
      <c r="B78" s="10">
        <f>IF(INDEX(rngYear,A78+1)&lt;&gt;0,INDEX(rngYear,A78+1),"")</f>
        <v>1987</v>
      </c>
      <c r="C78" s="11">
        <f>IFERROR(INDEX(rngData,MATCH($B78,rngYear,0),MATCH(OFFSET(C78,-$A78,0),rngColumnNames,0)),"")</f>
        <v>0</v>
      </c>
      <c r="D78" s="11">
        <f>IFERROR(INDEX(rngData,MATCH($B78,rngYear,0),MATCH(OFFSET(D78,-$A78,0),rngColumnNames,0)),"")</f>
        <v>0</v>
      </c>
      <c r="E78" s="11">
        <f>IFERROR(INDEX(rngData,MATCH($B78,rngYear,0),MATCH(OFFSET(E78,-$A78,0),rngColumnNames,0)),"")</f>
        <v>0</v>
      </c>
      <c r="F78" s="11">
        <f>IFERROR(INDEX(rngData,MATCH($B78,rngYear,0),MATCH(OFFSET(F78,-$A78,0),rngColumnNames,0)),"")</f>
        <v>0</v>
      </c>
      <c r="G78" s="11">
        <f t="shared" si="4"/>
        <v>0</v>
      </c>
    </row>
    <row r="79">
      <c r="A79" s="9">
        <f t="shared" si="5"/>
        <v>9</v>
      </c>
      <c r="B79" s="10">
        <f>IF(INDEX(rngYear,A79+1)&lt;&gt;0,INDEX(rngYear,A79+1),"")</f>
        <v>1988</v>
      </c>
      <c r="C79" s="11">
        <f>IFERROR(INDEX(rngData,MATCH($B79,rngYear,0),MATCH(OFFSET(C79,-$A79,0),rngColumnNames,0)),"")</f>
        <v>0</v>
      </c>
      <c r="D79" s="11">
        <f>IFERROR(INDEX(rngData,MATCH($B79,rngYear,0),MATCH(OFFSET(D79,-$A79,0),rngColumnNames,0)),"")</f>
        <v>0</v>
      </c>
      <c r="E79" s="11">
        <f>IFERROR(INDEX(rngData,MATCH($B79,rngYear,0),MATCH(OFFSET(E79,-$A79,0),rngColumnNames,0)),"")</f>
        <v>0</v>
      </c>
      <c r="F79" s="11">
        <f>IFERROR(INDEX(rngData,MATCH($B79,rngYear,0),MATCH(OFFSET(F79,-$A79,0),rngColumnNames,0)),"")</f>
        <v>0</v>
      </c>
      <c r="G79" s="11">
        <f t="shared" si="4"/>
        <v>0</v>
      </c>
    </row>
    <row r="80">
      <c r="A80" s="9">
        <f t="shared" si="5"/>
        <v>10</v>
      </c>
      <c r="B80" s="10">
        <f>IF(INDEX(rngYear,A80+1)&lt;&gt;0,INDEX(rngYear,A80+1),"")</f>
        <v>1989</v>
      </c>
      <c r="C80" s="11">
        <f>IFERROR(INDEX(rngData,MATCH($B80,rngYear,0),MATCH(OFFSET(C80,-$A80,0),rngColumnNames,0)),"")</f>
        <v>0</v>
      </c>
      <c r="D80" s="11">
        <f>IFERROR(INDEX(rngData,MATCH($B80,rngYear,0),MATCH(OFFSET(D80,-$A80,0),rngColumnNames,0)),"")</f>
        <v>0</v>
      </c>
      <c r="E80" s="11">
        <f>IFERROR(INDEX(rngData,MATCH($B80,rngYear,0),MATCH(OFFSET(E80,-$A80,0),rngColumnNames,0)),"")</f>
        <v>0</v>
      </c>
      <c r="F80" s="11">
        <f>IFERROR(INDEX(rngData,MATCH($B80,rngYear,0),MATCH(OFFSET(F80,-$A80,0),rngColumnNames,0)),"")</f>
        <v>0</v>
      </c>
      <c r="G80" s="11">
        <f t="shared" si="4"/>
        <v>0</v>
      </c>
    </row>
    <row r="81">
      <c r="A81" s="9">
        <f t="shared" si="5"/>
        <v>11</v>
      </c>
      <c r="B81" s="10">
        <f>IF(INDEX(rngYear,A81+1)&lt;&gt;0,INDEX(rngYear,A81+1),"")</f>
        <v>1990</v>
      </c>
      <c r="C81" s="11">
        <f>IFERROR(INDEX(rngData,MATCH($B81,rngYear,0),MATCH(OFFSET(C81,-$A81,0),rngColumnNames,0)),"")</f>
        <v>0</v>
      </c>
      <c r="D81" s="11">
        <f>IFERROR(INDEX(rngData,MATCH($B81,rngYear,0),MATCH(OFFSET(D81,-$A81,0),rngColumnNames,0)),"")</f>
        <v>0</v>
      </c>
      <c r="E81" s="11">
        <f>IFERROR(INDEX(rngData,MATCH($B81,rngYear,0),MATCH(OFFSET(E81,-$A81,0),rngColumnNames,0)),"")</f>
        <v>0</v>
      </c>
      <c r="F81" s="11">
        <f>IFERROR(INDEX(rngData,MATCH($B81,rngYear,0),MATCH(OFFSET(F81,-$A81,0),rngColumnNames,0)),"")</f>
        <v>0</v>
      </c>
      <c r="G81" s="11">
        <f t="shared" si="4"/>
        <v>0</v>
      </c>
    </row>
    <row r="82">
      <c r="A82" s="9">
        <f t="shared" si="5"/>
        <v>12</v>
      </c>
      <c r="B82" s="10">
        <f>IF(INDEX(rngYear,A82+1)&lt;&gt;0,INDEX(rngYear,A82+1),"")</f>
        <v>1991</v>
      </c>
      <c r="C82" s="11">
        <f>IFERROR(INDEX(rngData,MATCH($B82,rngYear,0),MATCH(OFFSET(C82,-$A82,0),rngColumnNames,0)),"")</f>
        <v>0</v>
      </c>
      <c r="D82" s="11">
        <f>IFERROR(INDEX(rngData,MATCH($B82,rngYear,0),MATCH(OFFSET(D82,-$A82,0),rngColumnNames,0)),"")</f>
        <v>0</v>
      </c>
      <c r="E82" s="11">
        <f>IFERROR(INDEX(rngData,MATCH($B82,rngYear,0),MATCH(OFFSET(E82,-$A82,0),rngColumnNames,0)),"")</f>
        <v>0</v>
      </c>
      <c r="F82" s="11">
        <f>IFERROR(INDEX(rngData,MATCH($B82,rngYear,0),MATCH(OFFSET(F82,-$A82,0),rngColumnNames,0)),"")</f>
        <v>0</v>
      </c>
      <c r="G82" s="11">
        <f t="shared" si="4"/>
        <v>0</v>
      </c>
    </row>
    <row r="83">
      <c r="A83" s="9">
        <f t="shared" si="5"/>
        <v>13</v>
      </c>
      <c r="B83" s="10">
        <f>IF(INDEX(rngYear,A83+1)&lt;&gt;0,INDEX(rngYear,A83+1),"")</f>
        <v>1992</v>
      </c>
      <c r="C83" s="11">
        <f>IFERROR(INDEX(rngData,MATCH($B83,rngYear,0),MATCH(OFFSET(C83,-$A83,0),rngColumnNames,0)),"")</f>
        <v>0</v>
      </c>
      <c r="D83" s="11">
        <f>IFERROR(INDEX(rngData,MATCH($B83,rngYear,0),MATCH(OFFSET(D83,-$A83,0),rngColumnNames,0)),"")</f>
        <v>0</v>
      </c>
      <c r="E83" s="11">
        <f>IFERROR(INDEX(rngData,MATCH($B83,rngYear,0),MATCH(OFFSET(E83,-$A83,0),rngColumnNames,0)),"")</f>
        <v>0</v>
      </c>
      <c r="F83" s="11">
        <f>IFERROR(INDEX(rngData,MATCH($B83,rngYear,0),MATCH(OFFSET(F83,-$A83,0),rngColumnNames,0)),"")</f>
        <v>0</v>
      </c>
      <c r="G83" s="11">
        <f t="shared" si="4"/>
        <v>0</v>
      </c>
    </row>
    <row r="84">
      <c r="A84" s="9">
        <f t="shared" si="5"/>
        <v>14</v>
      </c>
      <c r="B84" s="10">
        <f>IF(INDEX(rngYear,A84+1)&lt;&gt;0,INDEX(rngYear,A84+1),"")</f>
        <v>1993</v>
      </c>
      <c r="C84" s="11">
        <f>IFERROR(INDEX(rngData,MATCH($B84,rngYear,0),MATCH(OFFSET(C84,-$A84,0),rngColumnNames,0)),"")</f>
        <v>0</v>
      </c>
      <c r="D84" s="11">
        <f>IFERROR(INDEX(rngData,MATCH($B84,rngYear,0),MATCH(OFFSET(D84,-$A84,0),rngColumnNames,0)),"")</f>
        <v>0</v>
      </c>
      <c r="E84" s="11">
        <f>IFERROR(INDEX(rngData,MATCH($B84,rngYear,0),MATCH(OFFSET(E84,-$A84,0),rngColumnNames,0)),"")</f>
        <v>0</v>
      </c>
      <c r="F84" s="11">
        <f>IFERROR(INDEX(rngData,MATCH($B84,rngYear,0),MATCH(OFFSET(F84,-$A84,0),rngColumnNames,0)),"")</f>
        <v>0</v>
      </c>
      <c r="G84" s="11">
        <f t="shared" si="4"/>
        <v>0</v>
      </c>
    </row>
    <row r="85">
      <c r="A85" s="9">
        <f t="shared" si="5"/>
        <v>15</v>
      </c>
      <c r="B85" s="10">
        <f>IF(INDEX(rngYear,A85+1)&lt;&gt;0,INDEX(rngYear,A85+1),"")</f>
        <v>1994</v>
      </c>
      <c r="C85" s="11">
        <f>IFERROR(INDEX(rngData,MATCH($B85,rngYear,0),MATCH(OFFSET(C85,-$A85,0),rngColumnNames,0)),"")</f>
        <v>0</v>
      </c>
      <c r="D85" s="11">
        <f>IFERROR(INDEX(rngData,MATCH($B85,rngYear,0),MATCH(OFFSET(D85,-$A85,0),rngColumnNames,0)),"")</f>
        <v>0</v>
      </c>
      <c r="E85" s="11">
        <f>IFERROR(INDEX(rngData,MATCH($B85,rngYear,0),MATCH(OFFSET(E85,-$A85,0),rngColumnNames,0)),"")</f>
        <v>0</v>
      </c>
      <c r="F85" s="11">
        <f>IFERROR(INDEX(rngData,MATCH($B85,rngYear,0),MATCH(OFFSET(F85,-$A85,0),rngColumnNames,0)),"")</f>
        <v>0</v>
      </c>
      <c r="G85" s="11">
        <f t="shared" si="4"/>
        <v>0</v>
      </c>
    </row>
    <row r="86">
      <c r="A86" s="9">
        <f t="shared" si="5"/>
        <v>16</v>
      </c>
      <c r="B86" s="10">
        <f>IF(INDEX(rngYear,A86+1)&lt;&gt;0,INDEX(rngYear,A86+1),"")</f>
        <v>1995</v>
      </c>
      <c r="C86" s="11">
        <f>IFERROR(INDEX(rngData,MATCH($B86,rngYear,0),MATCH(OFFSET(C86,-$A86,0),rngColumnNames,0)),"")</f>
        <v>0</v>
      </c>
      <c r="D86" s="11">
        <f>IFERROR(INDEX(rngData,MATCH($B86,rngYear,0),MATCH(OFFSET(D86,-$A86,0),rngColumnNames,0)),"")</f>
        <v>0</v>
      </c>
      <c r="E86" s="11">
        <f>IFERROR(INDEX(rngData,MATCH($B86,rngYear,0),MATCH(OFFSET(E86,-$A86,0),rngColumnNames,0)),"")</f>
        <v>0</v>
      </c>
      <c r="F86" s="11">
        <f>IFERROR(INDEX(rngData,MATCH($B86,rngYear,0),MATCH(OFFSET(F86,-$A86,0),rngColumnNames,0)),"")</f>
        <v>0</v>
      </c>
      <c r="G86" s="11">
        <f t="shared" si="4"/>
        <v>0</v>
      </c>
    </row>
    <row r="87">
      <c r="A87" s="9">
        <f t="shared" si="5"/>
        <v>17</v>
      </c>
      <c r="B87" s="10">
        <f>IF(INDEX(rngYear,A87+1)&lt;&gt;0,INDEX(rngYear,A87+1),"")</f>
        <v>1996</v>
      </c>
      <c r="C87" s="11">
        <f>IFERROR(INDEX(rngData,MATCH($B87,rngYear,0),MATCH(OFFSET(C87,-$A87,0),rngColumnNames,0)),"")</f>
        <v>0</v>
      </c>
      <c r="D87" s="11">
        <f>IFERROR(INDEX(rngData,MATCH($B87,rngYear,0),MATCH(OFFSET(D87,-$A87,0),rngColumnNames,0)),"")</f>
        <v>0</v>
      </c>
      <c r="E87" s="11">
        <f>IFERROR(INDEX(rngData,MATCH($B87,rngYear,0),MATCH(OFFSET(E87,-$A87,0),rngColumnNames,0)),"")</f>
        <v>0</v>
      </c>
      <c r="F87" s="11">
        <f>IFERROR(INDEX(rngData,MATCH($B87,rngYear,0),MATCH(OFFSET(F87,-$A87,0),rngColumnNames,0)),"")</f>
        <v>0</v>
      </c>
      <c r="G87" s="11">
        <f t="shared" si="4"/>
        <v>0</v>
      </c>
    </row>
    <row r="88">
      <c r="A88" s="9">
        <f t="shared" si="5"/>
        <v>18</v>
      </c>
      <c r="B88" s="10">
        <f>IF(INDEX(rngYear,A88+1)&lt;&gt;0,INDEX(rngYear,A88+1),"")</f>
        <v>1997</v>
      </c>
      <c r="C88" s="11">
        <f>IFERROR(INDEX(rngData,MATCH($B88,rngYear,0),MATCH(OFFSET(C88,-$A88,0),rngColumnNames,0)),"")</f>
        <v>0</v>
      </c>
      <c r="D88" s="11">
        <f>IFERROR(INDEX(rngData,MATCH($B88,rngYear,0),MATCH(OFFSET(D88,-$A88,0),rngColumnNames,0)),"")</f>
        <v>0</v>
      </c>
      <c r="E88" s="11">
        <f>IFERROR(INDEX(rngData,MATCH($B88,rngYear,0),MATCH(OFFSET(E88,-$A88,0),rngColumnNames,0)),"")</f>
        <v>0</v>
      </c>
      <c r="F88" s="11">
        <f>IFERROR(INDEX(rngData,MATCH($B88,rngYear,0),MATCH(OFFSET(F88,-$A88,0),rngColumnNames,0)),"")</f>
        <v>0</v>
      </c>
      <c r="G88" s="11">
        <f t="shared" si="4"/>
        <v>0</v>
      </c>
    </row>
    <row r="89">
      <c r="A89" s="9">
        <f t="shared" si="5"/>
        <v>19</v>
      </c>
      <c r="B89" s="10">
        <f>IF(INDEX(rngYear,A89+1)&lt;&gt;0,INDEX(rngYear,A89+1),"")</f>
        <v>1998</v>
      </c>
      <c r="C89" s="11">
        <f>IFERROR(INDEX(rngData,MATCH($B89,rngYear,0),MATCH(OFFSET(C89,-$A89,0),rngColumnNames,0)),"")</f>
        <v>0</v>
      </c>
      <c r="D89" s="11">
        <f>IFERROR(INDEX(rngData,MATCH($B89,rngYear,0),MATCH(OFFSET(D89,-$A89,0),rngColumnNames,0)),"")</f>
        <v>0</v>
      </c>
      <c r="E89" s="11">
        <f>IFERROR(INDEX(rngData,MATCH($B89,rngYear,0),MATCH(OFFSET(E89,-$A89,0),rngColumnNames,0)),"")</f>
        <v>0</v>
      </c>
      <c r="F89" s="11">
        <f>IFERROR(INDEX(rngData,MATCH($B89,rngYear,0),MATCH(OFFSET(F89,-$A89,0),rngColumnNames,0)),"")</f>
        <v>0</v>
      </c>
      <c r="G89" s="11">
        <f t="shared" si="4"/>
        <v>0</v>
      </c>
    </row>
    <row r="90">
      <c r="A90" s="9">
        <f t="shared" si="5"/>
        <v>20</v>
      </c>
      <c r="B90" s="10">
        <f>IF(INDEX(rngYear,A90+1)&lt;&gt;0,INDEX(rngYear,A90+1),"")</f>
        <v>1999</v>
      </c>
      <c r="C90" s="11">
        <f>IFERROR(INDEX(rngData,MATCH($B90,rngYear,0),MATCH(OFFSET(C90,-$A90,0),rngColumnNames,0)),"")</f>
        <v>0</v>
      </c>
      <c r="D90" s="11">
        <f>IFERROR(INDEX(rngData,MATCH($B90,rngYear,0),MATCH(OFFSET(D90,-$A90,0),rngColumnNames,0)),"")</f>
        <v>0</v>
      </c>
      <c r="E90" s="11">
        <f>IFERROR(INDEX(rngData,MATCH($B90,rngYear,0),MATCH(OFFSET(E90,-$A90,0),rngColumnNames,0)),"")</f>
        <v>0</v>
      </c>
      <c r="F90" s="11">
        <f>IFERROR(INDEX(rngData,MATCH($B90,rngYear,0),MATCH(OFFSET(F90,-$A90,0),rngColumnNames,0)),"")</f>
        <v>0</v>
      </c>
      <c r="G90" s="11">
        <f t="shared" si="4"/>
        <v>0</v>
      </c>
    </row>
    <row r="91">
      <c r="A91" s="9">
        <f t="shared" si="5"/>
        <v>21</v>
      </c>
      <c r="B91" s="10">
        <f>IF(INDEX(rngYear,A91+1)&lt;&gt;0,INDEX(rngYear,A91+1),"")</f>
        <v>2000</v>
      </c>
      <c r="C91" s="11">
        <f>IFERROR(INDEX(rngData,MATCH($B91,rngYear,0),MATCH(OFFSET(C91,-$A91,0),rngColumnNames,0)),"")</f>
        <v>0</v>
      </c>
      <c r="D91" s="11">
        <f>IFERROR(INDEX(rngData,MATCH($B91,rngYear,0),MATCH(OFFSET(D91,-$A91,0),rngColumnNames,0)),"")</f>
        <v>0</v>
      </c>
      <c r="E91" s="11">
        <f>IFERROR(INDEX(rngData,MATCH($B91,rngYear,0),MATCH(OFFSET(E91,-$A91,0),rngColumnNames,0)),"")</f>
        <v>0</v>
      </c>
      <c r="F91" s="11">
        <f>IFERROR(INDEX(rngData,MATCH($B91,rngYear,0),MATCH(OFFSET(F91,-$A91,0),rngColumnNames,0)),"")</f>
        <v>0</v>
      </c>
      <c r="G91" s="11">
        <f t="shared" si="4"/>
        <v>0</v>
      </c>
    </row>
    <row r="92">
      <c r="A92" s="9">
        <f t="shared" si="5"/>
        <v>22</v>
      </c>
      <c r="B92" s="10">
        <f>IF(INDEX(rngYear,A92+1)&lt;&gt;0,INDEX(rngYear,A92+1),"")</f>
        <v>2001</v>
      </c>
      <c r="C92" s="11">
        <f>IFERROR(INDEX(rngData,MATCH($B92,rngYear,0),MATCH(OFFSET(C92,-$A92,0),rngColumnNames,0)),"")</f>
        <v>0</v>
      </c>
      <c r="D92" s="11">
        <f>IFERROR(INDEX(rngData,MATCH($B92,rngYear,0),MATCH(OFFSET(D92,-$A92,0),rngColumnNames,0)),"")</f>
        <v>0</v>
      </c>
      <c r="E92" s="11">
        <f>IFERROR(INDEX(rngData,MATCH($B92,rngYear,0),MATCH(OFFSET(E92,-$A92,0),rngColumnNames,0)),"")</f>
        <v>0</v>
      </c>
      <c r="F92" s="11">
        <f>IFERROR(INDEX(rngData,MATCH($B92,rngYear,0),MATCH(OFFSET(F92,-$A92,0),rngColumnNames,0)),"")</f>
        <v>0</v>
      </c>
      <c r="G92" s="11">
        <f t="shared" si="4"/>
        <v>0</v>
      </c>
    </row>
    <row r="93">
      <c r="A93" s="9">
        <f t="shared" si="5"/>
        <v>23</v>
      </c>
      <c r="B93" s="10">
        <f>IF(INDEX(rngYear,A93+1)&lt;&gt;0,INDEX(rngYear,A93+1),"")</f>
        <v>2002</v>
      </c>
      <c r="C93" s="11">
        <f>IFERROR(INDEX(rngData,MATCH($B93,rngYear,0),MATCH(OFFSET(C93,-$A93,0),rngColumnNames,0)),"")</f>
        <v>0</v>
      </c>
      <c r="D93" s="11">
        <f>IFERROR(INDEX(rngData,MATCH($B93,rngYear,0),MATCH(OFFSET(D93,-$A93,0),rngColumnNames,0)),"")</f>
        <v>0</v>
      </c>
      <c r="E93" s="11">
        <f>IFERROR(INDEX(rngData,MATCH($B93,rngYear,0),MATCH(OFFSET(E93,-$A93,0),rngColumnNames,0)),"")</f>
        <v>0</v>
      </c>
      <c r="F93" s="11">
        <f>IFERROR(INDEX(rngData,MATCH($B93,rngYear,0),MATCH(OFFSET(F93,-$A93,0),rngColumnNames,0)),"")</f>
        <v>0</v>
      </c>
      <c r="G93" s="11">
        <f t="shared" si="4"/>
        <v>0</v>
      </c>
    </row>
    <row r="94">
      <c r="A94" s="9">
        <f t="shared" si="5"/>
        <v>24</v>
      </c>
      <c r="B94" s="10">
        <f>IF(INDEX(rngYear,A94+1)&lt;&gt;0,INDEX(rngYear,A94+1),"")</f>
        <v>2003</v>
      </c>
      <c r="C94" s="11">
        <f>IFERROR(INDEX(rngData,MATCH($B94,rngYear,0),MATCH(OFFSET(C94,-$A94,0),rngColumnNames,0)),"")</f>
        <v>0</v>
      </c>
      <c r="D94" s="11">
        <f>IFERROR(INDEX(rngData,MATCH($B94,rngYear,0),MATCH(OFFSET(D94,-$A94,0),rngColumnNames,0)),"")</f>
        <v>0</v>
      </c>
      <c r="E94" s="11">
        <f>IFERROR(INDEX(rngData,MATCH($B94,rngYear,0),MATCH(OFFSET(E94,-$A94,0),rngColumnNames,0)),"")</f>
        <v>0</v>
      </c>
      <c r="F94" s="11">
        <f>IFERROR(INDEX(rngData,MATCH($B94,rngYear,0),MATCH(OFFSET(F94,-$A94,0),rngColumnNames,0)),"")</f>
        <v>0</v>
      </c>
      <c r="G94" s="11">
        <f t="shared" si="4"/>
        <v>0</v>
      </c>
    </row>
    <row r="95">
      <c r="A95" s="9">
        <f t="shared" si="5"/>
        <v>25</v>
      </c>
      <c r="B95" s="10">
        <f>IF(INDEX(rngYear,A95+1)&lt;&gt;0,INDEX(rngYear,A95+1),"")</f>
        <v>2004</v>
      </c>
      <c r="C95" s="11">
        <f>IFERROR(INDEX(rngData,MATCH($B95,rngYear,0),MATCH(OFFSET(C95,-$A95,0),rngColumnNames,0)),"")</f>
        <v>0</v>
      </c>
      <c r="D95" s="11">
        <f>IFERROR(INDEX(rngData,MATCH($B95,rngYear,0),MATCH(OFFSET(D95,-$A95,0),rngColumnNames,0)),"")</f>
        <v>0</v>
      </c>
      <c r="E95" s="11">
        <f>IFERROR(INDEX(rngData,MATCH($B95,rngYear,0),MATCH(OFFSET(E95,-$A95,0),rngColumnNames,0)),"")</f>
        <v>0</v>
      </c>
      <c r="F95" s="11">
        <f>IFERROR(INDEX(rngData,MATCH($B95,rngYear,0),MATCH(OFFSET(F95,-$A95,0),rngColumnNames,0)),"")</f>
        <v>0</v>
      </c>
      <c r="G95" s="11">
        <f t="shared" si="4"/>
        <v>0</v>
      </c>
    </row>
    <row r="96">
      <c r="A96" s="9">
        <f t="shared" si="5"/>
        <v>26</v>
      </c>
      <c r="B96" s="10">
        <f>IF(INDEX(rngYear,A96+1)&lt;&gt;0,INDEX(rngYear,A96+1),"")</f>
        <v>2005</v>
      </c>
      <c r="C96" s="11">
        <f>IFERROR(INDEX(rngData,MATCH($B96,rngYear,0),MATCH(OFFSET(C96,-$A96,0),rngColumnNames,0)),"")</f>
        <v>0</v>
      </c>
      <c r="D96" s="11">
        <f>IFERROR(INDEX(rngData,MATCH($B96,rngYear,0),MATCH(OFFSET(D96,-$A96,0),rngColumnNames,0)),"")</f>
        <v>0</v>
      </c>
      <c r="E96" s="11">
        <f>IFERROR(INDEX(rngData,MATCH($B96,rngYear,0),MATCH(OFFSET(E96,-$A96,0),rngColumnNames,0)),"")</f>
        <v>0</v>
      </c>
      <c r="F96" s="11">
        <f>IFERROR(INDEX(rngData,MATCH($B96,rngYear,0),MATCH(OFFSET(F96,-$A96,0),rngColumnNames,0)),"")</f>
        <v>0</v>
      </c>
      <c r="G96" s="11">
        <f t="shared" si="4"/>
        <v>0</v>
      </c>
    </row>
    <row r="97">
      <c r="A97" s="9">
        <f t="shared" si="5"/>
        <v>27</v>
      </c>
      <c r="B97" s="10">
        <f>IF(INDEX(rngYear,A97+1)&lt;&gt;0,INDEX(rngYear,A97+1),"")</f>
        <v>2006</v>
      </c>
      <c r="C97" s="11">
        <f>IFERROR(INDEX(rngData,MATCH($B97,rngYear,0),MATCH(OFFSET(C97,-$A97,0),rngColumnNames,0)),"")</f>
        <v>0</v>
      </c>
      <c r="D97" s="11">
        <f>IFERROR(INDEX(rngData,MATCH($B97,rngYear,0),MATCH(OFFSET(D97,-$A97,0),rngColumnNames,0)),"")</f>
        <v>0</v>
      </c>
      <c r="E97" s="11">
        <f>IFERROR(INDEX(rngData,MATCH($B97,rngYear,0),MATCH(OFFSET(E97,-$A97,0),rngColumnNames,0)),"")</f>
        <v>0</v>
      </c>
      <c r="F97" s="11">
        <f>IFERROR(INDEX(rngData,MATCH($B97,rngYear,0),MATCH(OFFSET(F97,-$A97,0),rngColumnNames,0)),"")</f>
        <v>0</v>
      </c>
      <c r="G97" s="11">
        <f t="shared" si="4"/>
        <v>0</v>
      </c>
    </row>
    <row r="98">
      <c r="A98" s="9">
        <f t="shared" si="5"/>
        <v>28</v>
      </c>
      <c r="B98" s="10">
        <f>IF(INDEX(rngYear,A98+1)&lt;&gt;0,INDEX(rngYear,A98+1),"")</f>
        <v>2007</v>
      </c>
      <c r="C98" s="11">
        <f>IFERROR(INDEX(rngData,MATCH($B98,rngYear,0),MATCH(OFFSET(C98,-$A98,0),rngColumnNames,0)),"")</f>
        <v>0</v>
      </c>
      <c r="D98" s="11">
        <f>IFERROR(INDEX(rngData,MATCH($B98,rngYear,0),MATCH(OFFSET(D98,-$A98,0),rngColumnNames,0)),"")</f>
        <v>0</v>
      </c>
      <c r="E98" s="11">
        <f>IFERROR(INDEX(rngData,MATCH($B98,rngYear,0),MATCH(OFFSET(E98,-$A98,0),rngColumnNames,0)),"")</f>
        <v>0</v>
      </c>
      <c r="F98" s="11">
        <f>IFERROR(INDEX(rngData,MATCH($B98,rngYear,0),MATCH(OFFSET(F98,-$A98,0),rngColumnNames,0)),"")</f>
        <v>0</v>
      </c>
      <c r="G98" s="11">
        <f t="shared" si="4"/>
        <v>0</v>
      </c>
    </row>
    <row r="99">
      <c r="A99" s="9">
        <f t="shared" si="5"/>
        <v>29</v>
      </c>
      <c r="B99" s="10">
        <f>IF(INDEX(rngYear,A99+1)&lt;&gt;0,INDEX(rngYear,A99+1),"")</f>
        <v>2008</v>
      </c>
      <c r="C99" s="11">
        <f>IFERROR(INDEX(rngData,MATCH($B99,rngYear,0),MATCH(OFFSET(C99,-$A99,0),rngColumnNames,0)),"")</f>
        <v>0</v>
      </c>
      <c r="D99" s="11">
        <f>IFERROR(INDEX(rngData,MATCH($B99,rngYear,0),MATCH(OFFSET(D99,-$A99,0),rngColumnNames,0)),"")</f>
        <v>0</v>
      </c>
      <c r="E99" s="11">
        <f>IFERROR(INDEX(rngData,MATCH($B99,rngYear,0),MATCH(OFFSET(E99,-$A99,0),rngColumnNames,0)),"")</f>
        <v>0</v>
      </c>
      <c r="F99" s="11">
        <f>IFERROR(INDEX(rngData,MATCH($B99,rngYear,0),MATCH(OFFSET(F99,-$A99,0),rngColumnNames,0)),"")</f>
        <v>0</v>
      </c>
      <c r="G99" s="11">
        <f t="shared" si="4"/>
        <v>0</v>
      </c>
    </row>
    <row r="100">
      <c r="A100" s="9">
        <f t="shared" si="5"/>
        <v>30</v>
      </c>
      <c r="B100" s="10">
        <f>IF(INDEX(rngYear,A100+1)&lt;&gt;0,INDEX(rngYear,A100+1),"")</f>
        <v>2009</v>
      </c>
      <c r="C100" s="11">
        <f>IFERROR(INDEX(rngData,MATCH($B100,rngYear,0),MATCH(OFFSET(C100,-$A100,0),rngColumnNames,0)),"")</f>
        <v>0</v>
      </c>
      <c r="D100" s="11">
        <f>IFERROR(INDEX(rngData,MATCH($B100,rngYear,0),MATCH(OFFSET(D100,-$A100,0),rngColumnNames,0)),"")</f>
        <v>0</v>
      </c>
      <c r="E100" s="11">
        <f>IFERROR(INDEX(rngData,MATCH($B100,rngYear,0),MATCH(OFFSET(E100,-$A100,0),rngColumnNames,0)),"")</f>
        <v>0</v>
      </c>
      <c r="F100" s="11">
        <f>IFERROR(INDEX(rngData,MATCH($B100,rngYear,0),MATCH(OFFSET(F100,-$A100,0),rngColumnNames,0)),"")</f>
        <v>0</v>
      </c>
      <c r="G100" s="11">
        <f t="shared" si="4"/>
        <v>0</v>
      </c>
    </row>
    <row r="101">
      <c r="A101" s="9">
        <f t="shared" si="5"/>
        <v>31</v>
      </c>
      <c r="B101" s="10">
        <f>IF(INDEX(rngYear,A101+1)&lt;&gt;0,INDEX(rngYear,A101+1),"")</f>
        <v>2010</v>
      </c>
      <c r="C101" s="11">
        <f>IFERROR(INDEX(rngData,MATCH($B101,rngYear,0),MATCH(OFFSET(C101,-$A101,0),rngColumnNames,0)),"")</f>
        <v>0</v>
      </c>
      <c r="D101" s="11">
        <f>IFERROR(INDEX(rngData,MATCH($B101,rngYear,0),MATCH(OFFSET(D101,-$A101,0),rngColumnNames,0)),"")</f>
        <v>0</v>
      </c>
      <c r="E101" s="11">
        <f>IFERROR(INDEX(rngData,MATCH($B101,rngYear,0),MATCH(OFFSET(E101,-$A101,0),rngColumnNames,0)),"")</f>
        <v>0</v>
      </c>
      <c r="F101" s="11">
        <f>IFERROR(INDEX(rngData,MATCH($B101,rngYear,0),MATCH(OFFSET(F101,-$A101,0),rngColumnNames,0)),"")</f>
        <v>0</v>
      </c>
      <c r="G101" s="11">
        <f t="shared" si="4"/>
        <v>0</v>
      </c>
    </row>
    <row r="102">
      <c r="A102" s="9">
        <f t="shared" si="5"/>
        <v>32</v>
      </c>
      <c r="B102" s="10">
        <f>IF(INDEX(rngYear,A102+1)&lt;&gt;0,INDEX(rngYear,A102+1),"")</f>
        <v>2011</v>
      </c>
      <c r="C102" s="11">
        <f>IFERROR(INDEX(rngData,MATCH($B102,rngYear,0),MATCH(OFFSET(C102,-$A102,0),rngColumnNames,0)),"")</f>
        <v>0</v>
      </c>
      <c r="D102" s="11">
        <f>IFERROR(INDEX(rngData,MATCH($B102,rngYear,0),MATCH(OFFSET(D102,-$A102,0),rngColumnNames,0)),"")</f>
        <v>0</v>
      </c>
      <c r="E102" s="11">
        <f>IFERROR(INDEX(rngData,MATCH($B102,rngYear,0),MATCH(OFFSET(E102,-$A102,0),rngColumnNames,0)),"")</f>
        <v>0</v>
      </c>
      <c r="F102" s="11">
        <f>IFERROR(INDEX(rngData,MATCH($B102,rngYear,0),MATCH(OFFSET(F102,-$A102,0),rngColumnNames,0)),"")</f>
        <v>0</v>
      </c>
      <c r="G102" s="11">
        <f t="shared" si="4"/>
        <v>0</v>
      </c>
    </row>
    <row r="103">
      <c r="A103" s="9">
        <f t="shared" si="5"/>
        <v>33</v>
      </c>
      <c r="B103" s="10">
        <f>IF(INDEX(rngYear,A103+1)&lt;&gt;0,INDEX(rngYear,A103+1),"")</f>
        <v>2012</v>
      </c>
      <c r="C103" s="11">
        <f>IFERROR(INDEX(rngData,MATCH($B103,rngYear,0),MATCH(OFFSET(C103,-$A103,0),rngColumnNames,0)),"")</f>
        <v>0</v>
      </c>
      <c r="D103" s="11">
        <f>IFERROR(INDEX(rngData,MATCH($B103,rngYear,0),MATCH(OFFSET(D103,-$A103,0),rngColumnNames,0)),"")</f>
        <v>0</v>
      </c>
      <c r="E103" s="11">
        <f>IFERROR(INDEX(rngData,MATCH($B103,rngYear,0),MATCH(OFFSET(E103,-$A103,0),rngColumnNames,0)),"")</f>
        <v>0</v>
      </c>
      <c r="F103" s="11">
        <f>IFERROR(INDEX(rngData,MATCH($B103,rngYear,0),MATCH(OFFSET(F103,-$A103,0),rngColumnNames,0)),"")</f>
        <v>0</v>
      </c>
      <c r="G103" s="11">
        <f ref="G103:G130" t="shared" si="6">IFERROR(F103-E103,"")</f>
        <v>0</v>
      </c>
    </row>
    <row r="104" hidden="1">
      <c r="A104" s="9">
        <f ref="A104:A130" t="shared" si="7">A103+1</f>
        <v>34</v>
      </c>
      <c r="B104" s="10">
        <f>IF(INDEX(rngYear,A104+1)&lt;&gt;0,INDEX(rngYear,A104+1),"")</f>
      </c>
      <c r="C104" s="11">
        <f>IFERROR(INDEX(rngData,MATCH($B104,rngYear,0),MATCH(OFFSET(C104,-$A104,0),rngColumnNames,0)),"")</f>
      </c>
      <c r="D104" s="11">
        <f>IFERROR(INDEX(rngData,MATCH($B104,rngYear,0),MATCH(OFFSET(D104,-$A104,0),rngColumnNames,0)),"")</f>
      </c>
      <c r="E104" s="11">
        <f>IFERROR(INDEX(rngData,MATCH($B104,rngYear,0),MATCH(OFFSET(E104,-$A104,0),rngColumnNames,0)),"")</f>
      </c>
      <c r="F104" s="11">
        <f>IFERROR(INDEX(rngData,MATCH($B104,rngYear,0),MATCH(OFFSET(F104,-$A104,0),rngColumnNames,0)),"")</f>
      </c>
      <c r="G104" s="11">
        <f t="shared" si="6"/>
      </c>
    </row>
    <row r="105" hidden="1">
      <c r="A105" s="9">
        <f t="shared" si="7"/>
        <v>35</v>
      </c>
      <c r="B105" s="10">
        <f>IF(INDEX(rngYear,A105+1)&lt;&gt;0,INDEX(rngYear,A105+1),"")</f>
      </c>
      <c r="C105" s="11">
        <f>IFERROR(INDEX(rngData,MATCH($B105,rngYear,0),MATCH(OFFSET(C105,-$A105,0),rngColumnNames,0)),"")</f>
      </c>
      <c r="D105" s="11">
        <f>IFERROR(INDEX(rngData,MATCH($B105,rngYear,0),MATCH(OFFSET(D105,-$A105,0),rngColumnNames,0)),"")</f>
      </c>
      <c r="E105" s="11">
        <f>IFERROR(INDEX(rngData,MATCH($B105,rngYear,0),MATCH(OFFSET(E105,-$A105,0),rngColumnNames,0)),"")</f>
      </c>
      <c r="F105" s="11">
        <f>IFERROR(INDEX(rngData,MATCH($B105,rngYear,0),MATCH(OFFSET(F105,-$A105,0),rngColumnNames,0)),"")</f>
      </c>
      <c r="G105" s="11">
        <f t="shared" si="6"/>
      </c>
    </row>
    <row r="106" hidden="1">
      <c r="A106" s="9">
        <f t="shared" si="7"/>
        <v>36</v>
      </c>
      <c r="B106" s="10">
        <f>IF(INDEX(rngYear,A106+1)&lt;&gt;0,INDEX(rngYear,A106+1),"")</f>
      </c>
      <c r="C106" s="11">
        <f>IFERROR(INDEX(rngData,MATCH($B106,rngYear,0),MATCH(OFFSET(C106,-$A106,0),rngColumnNames,0)),"")</f>
      </c>
      <c r="D106" s="11">
        <f>IFERROR(INDEX(rngData,MATCH($B106,rngYear,0),MATCH(OFFSET(D106,-$A106,0),rngColumnNames,0)),"")</f>
      </c>
      <c r="E106" s="11">
        <f>IFERROR(INDEX(rngData,MATCH($B106,rngYear,0),MATCH(OFFSET(E106,-$A106,0),rngColumnNames,0)),"")</f>
      </c>
      <c r="F106" s="11">
        <f>IFERROR(INDEX(rngData,MATCH($B106,rngYear,0),MATCH(OFFSET(F106,-$A106,0),rngColumnNames,0)),"")</f>
      </c>
      <c r="G106" s="11">
        <f t="shared" si="6"/>
      </c>
    </row>
    <row r="107" hidden="1">
      <c r="A107" s="9">
        <f t="shared" si="7"/>
        <v>37</v>
      </c>
      <c r="B107" s="10">
        <f>IF(INDEX(rngYear,A107+1)&lt;&gt;0,INDEX(rngYear,A107+1),"")</f>
      </c>
      <c r="C107" s="11">
        <f>IFERROR(INDEX(rngData,MATCH($B107,rngYear,0),MATCH(OFFSET(C107,-$A107,0),rngColumnNames,0)),"")</f>
      </c>
      <c r="D107" s="11">
        <f>IFERROR(INDEX(rngData,MATCH($B107,rngYear,0),MATCH(OFFSET(D107,-$A107,0),rngColumnNames,0)),"")</f>
      </c>
      <c r="E107" s="11">
        <f>IFERROR(INDEX(rngData,MATCH($B107,rngYear,0),MATCH(OFFSET(E107,-$A107,0),rngColumnNames,0)),"")</f>
      </c>
      <c r="F107" s="11">
        <f>IFERROR(INDEX(rngData,MATCH($B107,rngYear,0),MATCH(OFFSET(F107,-$A107,0),rngColumnNames,0)),"")</f>
      </c>
      <c r="G107" s="11">
        <f t="shared" si="6"/>
      </c>
    </row>
    <row r="108" hidden="1">
      <c r="A108" s="9">
        <f t="shared" si="7"/>
        <v>38</v>
      </c>
      <c r="B108" s="10">
        <f>IF(INDEX(rngYear,A108+1)&lt;&gt;0,INDEX(rngYear,A108+1),"")</f>
      </c>
      <c r="C108" s="11">
        <f>IFERROR(INDEX(rngData,MATCH($B108,rngYear,0),MATCH(OFFSET(C108,-$A108,0),rngColumnNames,0)),"")</f>
      </c>
      <c r="D108" s="11">
        <f>IFERROR(INDEX(rngData,MATCH($B108,rngYear,0),MATCH(OFFSET(D108,-$A108,0),rngColumnNames,0)),"")</f>
      </c>
      <c r="E108" s="11">
        <f>IFERROR(INDEX(rngData,MATCH($B108,rngYear,0),MATCH(OFFSET(E108,-$A108,0),rngColumnNames,0)),"")</f>
      </c>
      <c r="F108" s="11">
        <f>IFERROR(INDEX(rngData,MATCH($B108,rngYear,0),MATCH(OFFSET(F108,-$A108,0),rngColumnNames,0)),"")</f>
      </c>
      <c r="G108" s="11">
        <f t="shared" si="6"/>
      </c>
    </row>
    <row r="109" hidden="1">
      <c r="A109" s="9">
        <f t="shared" si="7"/>
        <v>39</v>
      </c>
      <c r="B109" s="10">
        <f>IF(INDEX(rngYear,A109+1)&lt;&gt;0,INDEX(rngYear,A109+1),"")</f>
      </c>
      <c r="C109" s="11">
        <f>IFERROR(INDEX(rngData,MATCH($B109,rngYear,0),MATCH(OFFSET(C109,-$A109,0),rngColumnNames,0)),"")</f>
      </c>
      <c r="D109" s="11">
        <f>IFERROR(INDEX(rngData,MATCH($B109,rngYear,0),MATCH(OFFSET(D109,-$A109,0),rngColumnNames,0)),"")</f>
      </c>
      <c r="E109" s="11">
        <f>IFERROR(INDEX(rngData,MATCH($B109,rngYear,0),MATCH(OFFSET(E109,-$A109,0),rngColumnNames,0)),"")</f>
      </c>
      <c r="F109" s="11">
        <f>IFERROR(INDEX(rngData,MATCH($B109,rngYear,0),MATCH(OFFSET(F109,-$A109,0),rngColumnNames,0)),"")</f>
      </c>
      <c r="G109" s="11">
        <f t="shared" si="6"/>
      </c>
    </row>
    <row r="110" hidden="1">
      <c r="A110" s="9">
        <f t="shared" si="7"/>
        <v>40</v>
      </c>
      <c r="B110" s="10">
        <f>IF(INDEX(rngYear,A110+1)&lt;&gt;0,INDEX(rngYear,A110+1),"")</f>
      </c>
      <c r="C110" s="11">
        <f>IFERROR(INDEX(rngData,MATCH($B110,rngYear,0),MATCH(OFFSET(C110,-$A110,0),rngColumnNames,0)),"")</f>
      </c>
      <c r="D110" s="11">
        <f>IFERROR(INDEX(rngData,MATCH($B110,rngYear,0),MATCH(OFFSET(D110,-$A110,0),rngColumnNames,0)),"")</f>
      </c>
      <c r="E110" s="11">
        <f>IFERROR(INDEX(rngData,MATCH($B110,rngYear,0),MATCH(OFFSET(E110,-$A110,0),rngColumnNames,0)),"")</f>
      </c>
      <c r="F110" s="11">
        <f>IFERROR(INDEX(rngData,MATCH($B110,rngYear,0),MATCH(OFFSET(F110,-$A110,0),rngColumnNames,0)),"")</f>
      </c>
      <c r="G110" s="11">
        <f t="shared" si="6"/>
      </c>
    </row>
    <row r="111" hidden="1">
      <c r="A111" s="9">
        <f t="shared" si="7"/>
        <v>41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>IFERROR(INDEX(rngData,MATCH($B111,rngYear,0),MATCH(OFFSET(F111,-$A111,0),rngColumnNames,0)),"")</f>
      </c>
      <c r="G111" s="11">
        <f t="shared" si="6"/>
      </c>
    </row>
    <row r="112" hidden="1">
      <c r="A112" s="9">
        <f t="shared" si="7"/>
        <v>42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>IFERROR(INDEX(rngData,MATCH($B112,rngYear,0),MATCH(OFFSET(F112,-$A112,0),rngColumnNames,0)),"")</f>
      </c>
      <c r="G112" s="11">
        <f t="shared" si="6"/>
      </c>
    </row>
    <row r="113" hidden="1">
      <c r="A113" s="9">
        <f t="shared" si="7"/>
        <v>43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>IFERROR(INDEX(rngData,MATCH($B113,rngYear,0),MATCH(OFFSET(F113,-$A113,0),rngColumnNames,0)),"")</f>
      </c>
      <c r="G113" s="11">
        <f t="shared" si="6"/>
      </c>
    </row>
    <row r="114" hidden="1">
      <c r="A114" s="9">
        <f t="shared" si="7"/>
        <v>44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>IFERROR(INDEX(rngData,MATCH($B114,rngYear,0),MATCH(OFFSET(F114,-$A114,0),rngColumnNames,0)),"")</f>
      </c>
      <c r="G114" s="11">
        <f t="shared" si="6"/>
      </c>
    </row>
    <row r="115" hidden="1">
      <c r="A115" s="9">
        <f t="shared" si="7"/>
        <v>45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>IFERROR(INDEX(rngData,MATCH($B115,rngYear,0),MATCH(OFFSET(F115,-$A115,0),rngColumnNames,0)),"")</f>
      </c>
      <c r="G115" s="11">
        <f t="shared" si="6"/>
      </c>
    </row>
    <row r="116" hidden="1">
      <c r="A116" s="9">
        <f t="shared" si="7"/>
        <v>46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>IFERROR(INDEX(rngData,MATCH($B116,rngYear,0),MATCH(OFFSET(F116,-$A116,0),rngColumnNames,0)),"")</f>
      </c>
      <c r="G116" s="11">
        <f t="shared" si="6"/>
      </c>
    </row>
    <row r="117" hidden="1">
      <c r="A117" s="9">
        <f t="shared" si="7"/>
        <v>47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>IFERROR(INDEX(rngData,MATCH($B117,rngYear,0),MATCH(OFFSET(F117,-$A117,0),rngColumnNames,0)),"")</f>
      </c>
      <c r="G117" s="11">
        <f t="shared" si="6"/>
      </c>
    </row>
    <row r="118" hidden="1">
      <c r="A118" s="9">
        <f t="shared" si="7"/>
        <v>48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>IFERROR(INDEX(rngData,MATCH($B118,rngYear,0),MATCH(OFFSET(F118,-$A118,0),rngColumnNames,0)),"")</f>
      </c>
      <c r="G118" s="11">
        <f t="shared" si="6"/>
      </c>
    </row>
    <row r="119" hidden="1">
      <c r="A119" s="9">
        <f t="shared" si="7"/>
        <v>49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>IFERROR(INDEX(rngData,MATCH($B119,rngYear,0),MATCH(OFFSET(F119,-$A119,0),rngColumnNames,0)),"")</f>
      </c>
      <c r="G119" s="11">
        <f t="shared" si="6"/>
      </c>
    </row>
    <row r="120" hidden="1">
      <c r="A120" s="9">
        <f t="shared" si="7"/>
        <v>50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>IFERROR(INDEX(rngData,MATCH($B120,rngYear,0),MATCH(OFFSET(F120,-$A120,0),rngColumnNames,0)),"")</f>
      </c>
      <c r="G120" s="11">
        <f t="shared" si="6"/>
      </c>
    </row>
    <row r="121" hidden="1">
      <c r="A121" s="9">
        <f t="shared" si="7"/>
        <v>51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>IFERROR(INDEX(rngData,MATCH($B121,rngYear,0),MATCH(OFFSET(F121,-$A121,0),rngColumnNames,0)),"")</f>
      </c>
      <c r="G121" s="11">
        <f t="shared" si="6"/>
      </c>
    </row>
    <row r="122" hidden="1">
      <c r="A122" s="9">
        <f t="shared" si="7"/>
        <v>52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>IFERROR(INDEX(rngData,MATCH($B122,rngYear,0),MATCH(OFFSET(F122,-$A122,0),rngColumnNames,0)),"")</f>
      </c>
      <c r="G122" s="11">
        <f t="shared" si="6"/>
      </c>
    </row>
    <row r="123" hidden="1">
      <c r="A123" s="9">
        <f t="shared" si="7"/>
        <v>53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>IFERROR(INDEX(rngData,MATCH($B123,rngYear,0),MATCH(OFFSET(F123,-$A123,0),rngColumnNames,0)),"")</f>
      </c>
      <c r="G123" s="11">
        <f t="shared" si="6"/>
      </c>
    </row>
    <row r="124" hidden="1">
      <c r="A124" s="9">
        <f t="shared" si="7"/>
        <v>54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>IFERROR(INDEX(rngData,MATCH($B124,rngYear,0),MATCH(OFFSET(F124,-$A124,0),rngColumnNames,0)),"")</f>
      </c>
      <c r="G124" s="11">
        <f t="shared" si="6"/>
      </c>
    </row>
    <row r="125" hidden="1">
      <c r="A125" s="9">
        <f t="shared" si="7"/>
        <v>55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>IFERROR(INDEX(rngData,MATCH($B125,rngYear,0),MATCH(OFFSET(F125,-$A125,0),rngColumnNames,0)),"")</f>
      </c>
      <c r="G125" s="11">
        <f t="shared" si="6"/>
      </c>
    </row>
    <row r="126" hidden="1">
      <c r="A126" s="9">
        <f t="shared" si="7"/>
        <v>56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>IFERROR(INDEX(rngData,MATCH($B126,rngYear,0),MATCH(OFFSET(F126,-$A126,0),rngColumnNames,0)),"")</f>
      </c>
      <c r="G126" s="11">
        <f t="shared" si="6"/>
      </c>
    </row>
    <row r="127" hidden="1">
      <c r="A127" s="9">
        <f t="shared" si="7"/>
        <v>57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>IFERROR(INDEX(rngData,MATCH($B127,rngYear,0),MATCH(OFFSET(F127,-$A127,0),rngColumnNames,0)),"")</f>
      </c>
      <c r="G127" s="11">
        <f t="shared" si="6"/>
      </c>
    </row>
    <row r="128" hidden="1">
      <c r="A128" s="9">
        <f t="shared" si="7"/>
        <v>58</v>
      </c>
      <c r="B128" s="10">
        <f>IF(INDEX(rngYear,A128+1)&lt;&gt;0,INDEX(rngYear,A128+1),"")</f>
      </c>
      <c r="C128" s="11">
        <f>IFERROR(INDEX(rngData,MATCH($B128,rngYear,0),MATCH(OFFSET(C128,-$A128,0),rngColumnNames,0)),"")</f>
      </c>
      <c r="D128" s="11">
        <f>IFERROR(INDEX(rngData,MATCH($B128,rngYear,0),MATCH(OFFSET(D128,-$A128,0),rngColumnNames,0)),"")</f>
      </c>
      <c r="E128" s="11">
        <f>IFERROR(INDEX(rngData,MATCH($B128,rngYear,0),MATCH(OFFSET(E128,-$A128,0),rngColumnNames,0)),"")</f>
      </c>
      <c r="F128" s="11">
        <f>IFERROR(INDEX(rngData,MATCH($B128,rngYear,0),MATCH(OFFSET(F128,-$A128,0),rngColumnNames,0)),"")</f>
      </c>
      <c r="G128" s="11">
        <f t="shared" si="6"/>
      </c>
    </row>
    <row r="129" hidden="1">
      <c r="A129" s="9">
        <f t="shared" si="7"/>
        <v>59</v>
      </c>
      <c r="B129" s="10">
        <f>IF(INDEX(rngYear,A129+1)&lt;&gt;0,INDEX(rngYear,A129+1),"")</f>
      </c>
      <c r="C129" s="11">
        <f>IFERROR(INDEX(rngData,MATCH($B129,rngYear,0),MATCH(OFFSET(C129,-$A129,0),rngColumnNames,0)),"")</f>
      </c>
      <c r="D129" s="11">
        <f>IFERROR(INDEX(rngData,MATCH($B129,rngYear,0),MATCH(OFFSET(D129,-$A129,0),rngColumnNames,0)),"")</f>
      </c>
      <c r="E129" s="11">
        <f>IFERROR(INDEX(rngData,MATCH($B129,rngYear,0),MATCH(OFFSET(E129,-$A129,0),rngColumnNames,0)),"")</f>
      </c>
      <c r="F129" s="11">
        <f>IFERROR(INDEX(rngData,MATCH($B129,rngYear,0),MATCH(OFFSET(F129,-$A129,0),rngColumnNames,0)),"")</f>
      </c>
      <c r="G129" s="11">
        <f t="shared" si="6"/>
      </c>
    </row>
    <row r="130" hidden="1">
      <c r="A130" s="9">
        <f t="shared" si="7"/>
        <v>60</v>
      </c>
      <c r="B130" s="10">
        <f>IF(INDEX(rngYear,A130+1)&lt;&gt;0,INDEX(rngYear,A130+1),"")</f>
      </c>
      <c r="C130" s="11">
        <f>IFERROR(INDEX(rngData,MATCH($B130,rngYear,0),MATCH(OFFSET(C130,-$A130,0),rngColumnNames,0)),"")</f>
      </c>
      <c r="D130" s="11">
        <f>IFERROR(INDEX(rngData,MATCH($B130,rngYear,0),MATCH(OFFSET(D130,-$A130,0),rngColumnNames,0)),"")</f>
      </c>
      <c r="E130" s="11">
        <f>IFERROR(INDEX(rngData,MATCH($B130,rngYear,0),MATCH(OFFSET(E130,-$A130,0),rngColumnNames,0)),"")</f>
      </c>
      <c r="F130" s="11">
        <f>IFERROR(INDEX(rngData,MATCH($B130,rngYear,0),MATCH(OFFSET(F130,-$A130,0),rngColumnNames,0)),"")</f>
      </c>
      <c r="G130" s="11">
        <f t="shared" si="6"/>
      </c>
    </row>
    <row r="132" ht="19.5" customHeight="1">
      <c r="A132" s="16" t="s">
        <v>97</v>
      </c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</row>
    <row r="133" ht="15" customHeight="1">
      <c r="B133" s="4"/>
      <c r="C133" s="5" t="s">
        <v>95</v>
      </c>
      <c r="D133" s="5" t="s">
        <v>81</v>
      </c>
      <c r="E133" s="17" t="s">
        <v>82</v>
      </c>
      <c r="F133" s="18"/>
      <c r="G133" s="19"/>
    </row>
    <row r="134" ht="23.25" customHeight="1">
      <c r="A134" s="6" t="s">
        <v>83</v>
      </c>
      <c r="B134" s="7" t="s">
        <v>4</v>
      </c>
      <c r="C134" s="7" t="s">
        <v>8</v>
      </c>
      <c r="D134" s="7" t="s">
        <v>12</v>
      </c>
      <c r="E134" s="7" t="s">
        <v>36</v>
      </c>
      <c r="F134" s="7" t="s">
        <v>37</v>
      </c>
      <c r="G134" s="8" t="s">
        <v>82</v>
      </c>
    </row>
    <row r="135">
      <c r="A135" s="9">
        <v>1</v>
      </c>
      <c r="B135" s="10">
        <f>IF(INDEX(rngYear,A135+1)&lt;&gt;0,INDEX(rngYear,A135+1),"")</f>
        <v>1980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>IFERROR(INDEX(rngData,MATCH($B135,rngYear,0),MATCH(OFFSET(F135,-$A135,0),rngColumnNames,0)),"")</f>
        <v>0</v>
      </c>
      <c r="G135" s="11">
        <f ref="G135:G166" t="shared" si="8">IFERROR(F135-E135,"")</f>
        <v>0</v>
      </c>
    </row>
    <row r="136">
      <c r="A136" s="9">
        <f ref="A136:A167" t="shared" si="9">A135+1</f>
        <v>2</v>
      </c>
      <c r="B136" s="10">
        <f>IF(INDEX(rngYear,A136+1)&lt;&gt;0,INDEX(rngYear,A136+1),"")</f>
        <v>1981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>IFERROR(INDEX(rngData,MATCH($B136,rngYear,0),MATCH(OFFSET(F136,-$A136,0),rngColumnNames,0)),"")</f>
        <v>0</v>
      </c>
      <c r="G136" s="11">
        <f t="shared" si="8"/>
        <v>0</v>
      </c>
    </row>
    <row r="137">
      <c r="A137" s="9">
        <f t="shared" si="9"/>
        <v>3</v>
      </c>
      <c r="B137" s="10">
        <f>IF(INDEX(rngYear,A137+1)&lt;&gt;0,INDEX(rngYear,A137+1),"")</f>
        <v>1982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>IFERROR(INDEX(rngData,MATCH($B137,rngYear,0),MATCH(OFFSET(F137,-$A137,0),rngColumnNames,0)),"")</f>
        <v>0</v>
      </c>
      <c r="G137" s="11">
        <f t="shared" si="8"/>
        <v>0</v>
      </c>
    </row>
    <row r="138">
      <c r="A138" s="9">
        <f t="shared" si="9"/>
        <v>4</v>
      </c>
      <c r="B138" s="10">
        <f>IF(INDEX(rngYear,A138+1)&lt;&gt;0,INDEX(rngYear,A138+1),"")</f>
        <v>1983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>IFERROR(INDEX(rngData,MATCH($B138,rngYear,0),MATCH(OFFSET(F138,-$A138,0),rngColumnNames,0)),"")</f>
        <v>0</v>
      </c>
      <c r="G138" s="11">
        <f t="shared" si="8"/>
        <v>0</v>
      </c>
    </row>
    <row r="139">
      <c r="A139" s="9">
        <f t="shared" si="9"/>
        <v>5</v>
      </c>
      <c r="B139" s="10">
        <f>IF(INDEX(rngYear,A139+1)&lt;&gt;0,INDEX(rngYear,A139+1),"")</f>
        <v>1984</v>
      </c>
      <c r="C139" s="11">
        <f>IFERROR(INDEX(rngData,MATCH($B139,rngYear,0),MATCH(OFFSET(C139,-$A139,0),rngColumnNames,0)),"")</f>
        <v>0</v>
      </c>
      <c r="D139" s="11">
        <f>IFERROR(INDEX(rngData,MATCH($B139,rngYear,0),MATCH(OFFSET(D139,-$A139,0),rngColumnNames,0)),"")</f>
        <v>0</v>
      </c>
      <c r="E139" s="11">
        <f>IFERROR(INDEX(rngData,MATCH($B139,rngYear,0),MATCH(OFFSET(E139,-$A139,0),rngColumnNames,0)),"")</f>
        <v>0</v>
      </c>
      <c r="F139" s="11">
        <f>IFERROR(INDEX(rngData,MATCH($B139,rngYear,0),MATCH(OFFSET(F139,-$A139,0),rngColumnNames,0)),"")</f>
        <v>0</v>
      </c>
      <c r="G139" s="11">
        <f t="shared" si="8"/>
        <v>0</v>
      </c>
    </row>
    <row r="140">
      <c r="A140" s="9">
        <f t="shared" si="9"/>
        <v>6</v>
      </c>
      <c r="B140" s="10">
        <f>IF(INDEX(rngYear,A140+1)&lt;&gt;0,INDEX(rngYear,A140+1),"")</f>
        <v>1985</v>
      </c>
      <c r="C140" s="11">
        <f>IFERROR(INDEX(rngData,MATCH($B140,rngYear,0),MATCH(OFFSET(C140,-$A140,0),rngColumnNames,0)),"")</f>
        <v>0</v>
      </c>
      <c r="D140" s="11">
        <f>IFERROR(INDEX(rngData,MATCH($B140,rngYear,0),MATCH(OFFSET(D140,-$A140,0),rngColumnNames,0)),"")</f>
        <v>0</v>
      </c>
      <c r="E140" s="11">
        <f>IFERROR(INDEX(rngData,MATCH($B140,rngYear,0),MATCH(OFFSET(E140,-$A140,0),rngColumnNames,0)),"")</f>
        <v>0</v>
      </c>
      <c r="F140" s="11">
        <f>IFERROR(INDEX(rngData,MATCH($B140,rngYear,0),MATCH(OFFSET(F140,-$A140,0),rngColumnNames,0)),"")</f>
        <v>0</v>
      </c>
      <c r="G140" s="11">
        <f t="shared" si="8"/>
        <v>0</v>
      </c>
    </row>
    <row r="141">
      <c r="A141" s="9">
        <f t="shared" si="9"/>
        <v>7</v>
      </c>
      <c r="B141" s="10">
        <f>IF(INDEX(rngYear,A141+1)&lt;&gt;0,INDEX(rngYear,A141+1),"")</f>
        <v>1986</v>
      </c>
      <c r="C141" s="11">
        <f>IFERROR(INDEX(rngData,MATCH($B141,rngYear,0),MATCH(OFFSET(C141,-$A141,0),rngColumnNames,0)),"")</f>
        <v>0</v>
      </c>
      <c r="D141" s="11">
        <f>IFERROR(INDEX(rngData,MATCH($B141,rngYear,0),MATCH(OFFSET(D141,-$A141,0),rngColumnNames,0)),"")</f>
        <v>0</v>
      </c>
      <c r="E141" s="11">
        <f>IFERROR(INDEX(rngData,MATCH($B141,rngYear,0),MATCH(OFFSET(E141,-$A141,0),rngColumnNames,0)),"")</f>
        <v>0</v>
      </c>
      <c r="F141" s="11">
        <f>IFERROR(INDEX(rngData,MATCH($B141,rngYear,0),MATCH(OFFSET(F141,-$A141,0),rngColumnNames,0)),"")</f>
        <v>0</v>
      </c>
      <c r="G141" s="11">
        <f t="shared" si="8"/>
        <v>0</v>
      </c>
    </row>
    <row r="142">
      <c r="A142" s="9">
        <f t="shared" si="9"/>
        <v>8</v>
      </c>
      <c r="B142" s="10">
        <f>IF(INDEX(rngYear,A142+1)&lt;&gt;0,INDEX(rngYear,A142+1),"")</f>
        <v>1987</v>
      </c>
      <c r="C142" s="11">
        <f>IFERROR(INDEX(rngData,MATCH($B142,rngYear,0),MATCH(OFFSET(C142,-$A142,0),rngColumnNames,0)),"")</f>
        <v>0</v>
      </c>
      <c r="D142" s="11">
        <f>IFERROR(INDEX(rngData,MATCH($B142,rngYear,0),MATCH(OFFSET(D142,-$A142,0),rngColumnNames,0)),"")</f>
        <v>0</v>
      </c>
      <c r="E142" s="11">
        <f>IFERROR(INDEX(rngData,MATCH($B142,rngYear,0),MATCH(OFFSET(E142,-$A142,0),rngColumnNames,0)),"")</f>
        <v>0</v>
      </c>
      <c r="F142" s="11">
        <f>IFERROR(INDEX(rngData,MATCH($B142,rngYear,0),MATCH(OFFSET(F142,-$A142,0),rngColumnNames,0)),"")</f>
        <v>0</v>
      </c>
      <c r="G142" s="11">
        <f t="shared" si="8"/>
        <v>0</v>
      </c>
    </row>
    <row r="143">
      <c r="A143" s="9">
        <f t="shared" si="9"/>
        <v>9</v>
      </c>
      <c r="B143" s="10">
        <f>IF(INDEX(rngYear,A143+1)&lt;&gt;0,INDEX(rngYear,A143+1),"")</f>
        <v>1988</v>
      </c>
      <c r="C143" s="11">
        <f>IFERROR(INDEX(rngData,MATCH($B143,rngYear,0),MATCH(OFFSET(C143,-$A143,0),rngColumnNames,0)),"")</f>
        <v>0</v>
      </c>
      <c r="D143" s="11">
        <f>IFERROR(INDEX(rngData,MATCH($B143,rngYear,0),MATCH(OFFSET(D143,-$A143,0),rngColumnNames,0)),"")</f>
        <v>0</v>
      </c>
      <c r="E143" s="11">
        <f>IFERROR(INDEX(rngData,MATCH($B143,rngYear,0),MATCH(OFFSET(E143,-$A143,0),rngColumnNames,0)),"")</f>
        <v>0</v>
      </c>
      <c r="F143" s="11">
        <f>IFERROR(INDEX(rngData,MATCH($B143,rngYear,0),MATCH(OFFSET(F143,-$A143,0),rngColumnNames,0)),"")</f>
        <v>0</v>
      </c>
      <c r="G143" s="11">
        <f t="shared" si="8"/>
        <v>0</v>
      </c>
    </row>
    <row r="144">
      <c r="A144" s="9">
        <f t="shared" si="9"/>
        <v>10</v>
      </c>
      <c r="B144" s="10">
        <f>IF(INDEX(rngYear,A144+1)&lt;&gt;0,INDEX(rngYear,A144+1),"")</f>
        <v>1989</v>
      </c>
      <c r="C144" s="11">
        <f>IFERROR(INDEX(rngData,MATCH($B144,rngYear,0),MATCH(OFFSET(C144,-$A144,0),rngColumnNames,0)),"")</f>
        <v>0</v>
      </c>
      <c r="D144" s="11">
        <f>IFERROR(INDEX(rngData,MATCH($B144,rngYear,0),MATCH(OFFSET(D144,-$A144,0),rngColumnNames,0)),"")</f>
        <v>0</v>
      </c>
      <c r="E144" s="11">
        <f>IFERROR(INDEX(rngData,MATCH($B144,rngYear,0),MATCH(OFFSET(E144,-$A144,0),rngColumnNames,0)),"")</f>
        <v>0</v>
      </c>
      <c r="F144" s="11">
        <f>IFERROR(INDEX(rngData,MATCH($B144,rngYear,0),MATCH(OFFSET(F144,-$A144,0),rngColumnNames,0)),"")</f>
        <v>0</v>
      </c>
      <c r="G144" s="11">
        <f t="shared" si="8"/>
        <v>0</v>
      </c>
    </row>
    <row r="145">
      <c r="A145" s="9">
        <f t="shared" si="9"/>
        <v>11</v>
      </c>
      <c r="B145" s="10">
        <f>IF(INDEX(rngYear,A145+1)&lt;&gt;0,INDEX(rngYear,A145+1),"")</f>
        <v>1990</v>
      </c>
      <c r="C145" s="11">
        <f>IFERROR(INDEX(rngData,MATCH($B145,rngYear,0),MATCH(OFFSET(C145,-$A145,0),rngColumnNames,0)),"")</f>
        <v>0</v>
      </c>
      <c r="D145" s="11">
        <f>IFERROR(INDEX(rngData,MATCH($B145,rngYear,0),MATCH(OFFSET(D145,-$A145,0),rngColumnNames,0)),"")</f>
        <v>0</v>
      </c>
      <c r="E145" s="11">
        <f>IFERROR(INDEX(rngData,MATCH($B145,rngYear,0),MATCH(OFFSET(E145,-$A145,0),rngColumnNames,0)),"")</f>
        <v>0</v>
      </c>
      <c r="F145" s="11">
        <f>IFERROR(INDEX(rngData,MATCH($B145,rngYear,0),MATCH(OFFSET(F145,-$A145,0),rngColumnNames,0)),"")</f>
        <v>0</v>
      </c>
      <c r="G145" s="11">
        <f t="shared" si="8"/>
        <v>0</v>
      </c>
    </row>
    <row r="146">
      <c r="A146" s="9">
        <f t="shared" si="9"/>
        <v>12</v>
      </c>
      <c r="B146" s="10">
        <f>IF(INDEX(rngYear,A146+1)&lt;&gt;0,INDEX(rngYear,A146+1),"")</f>
        <v>1991</v>
      </c>
      <c r="C146" s="11">
        <f>IFERROR(INDEX(rngData,MATCH($B146,rngYear,0),MATCH(OFFSET(C146,-$A146,0),rngColumnNames,0)),"")</f>
        <v>0</v>
      </c>
      <c r="D146" s="11">
        <f>IFERROR(INDEX(rngData,MATCH($B146,rngYear,0),MATCH(OFFSET(D146,-$A146,0),rngColumnNames,0)),"")</f>
        <v>0</v>
      </c>
      <c r="E146" s="11">
        <f>IFERROR(INDEX(rngData,MATCH($B146,rngYear,0),MATCH(OFFSET(E146,-$A146,0),rngColumnNames,0)),"")</f>
        <v>0</v>
      </c>
      <c r="F146" s="11">
        <f>IFERROR(INDEX(rngData,MATCH($B146,rngYear,0),MATCH(OFFSET(F146,-$A146,0),rngColumnNames,0)),"")</f>
        <v>0</v>
      </c>
      <c r="G146" s="11">
        <f t="shared" si="8"/>
        <v>0</v>
      </c>
    </row>
    <row r="147">
      <c r="A147" s="9">
        <f t="shared" si="9"/>
        <v>13</v>
      </c>
      <c r="B147" s="10">
        <f>IF(INDEX(rngYear,A147+1)&lt;&gt;0,INDEX(rngYear,A147+1),"")</f>
        <v>1992</v>
      </c>
      <c r="C147" s="11">
        <f>IFERROR(INDEX(rngData,MATCH($B147,rngYear,0),MATCH(OFFSET(C147,-$A147,0),rngColumnNames,0)),"")</f>
        <v>0</v>
      </c>
      <c r="D147" s="11">
        <f>IFERROR(INDEX(rngData,MATCH($B147,rngYear,0),MATCH(OFFSET(D147,-$A147,0),rngColumnNames,0)),"")</f>
        <v>0</v>
      </c>
      <c r="E147" s="11">
        <f>IFERROR(INDEX(rngData,MATCH($B147,rngYear,0),MATCH(OFFSET(E147,-$A147,0),rngColumnNames,0)),"")</f>
        <v>0</v>
      </c>
      <c r="F147" s="11">
        <f>IFERROR(INDEX(rngData,MATCH($B147,rngYear,0),MATCH(OFFSET(F147,-$A147,0),rngColumnNames,0)),"")</f>
        <v>0</v>
      </c>
      <c r="G147" s="11">
        <f t="shared" si="8"/>
        <v>0</v>
      </c>
    </row>
    <row r="148">
      <c r="A148" s="9">
        <f t="shared" si="9"/>
        <v>14</v>
      </c>
      <c r="B148" s="10">
        <f>IF(INDEX(rngYear,A148+1)&lt;&gt;0,INDEX(rngYear,A148+1),"")</f>
        <v>1993</v>
      </c>
      <c r="C148" s="11">
        <f>IFERROR(INDEX(rngData,MATCH($B148,rngYear,0),MATCH(OFFSET(C148,-$A148,0),rngColumnNames,0)),"")</f>
        <v>0</v>
      </c>
      <c r="D148" s="11">
        <f>IFERROR(INDEX(rngData,MATCH($B148,rngYear,0),MATCH(OFFSET(D148,-$A148,0),rngColumnNames,0)),"")</f>
        <v>0</v>
      </c>
      <c r="E148" s="11">
        <f>IFERROR(INDEX(rngData,MATCH($B148,rngYear,0),MATCH(OFFSET(E148,-$A148,0),rngColumnNames,0)),"")</f>
        <v>0</v>
      </c>
      <c r="F148" s="11">
        <f>IFERROR(INDEX(rngData,MATCH($B148,rngYear,0),MATCH(OFFSET(F148,-$A148,0),rngColumnNames,0)),"")</f>
        <v>0</v>
      </c>
      <c r="G148" s="11">
        <f t="shared" si="8"/>
        <v>0</v>
      </c>
    </row>
    <row r="149">
      <c r="A149" s="9">
        <f t="shared" si="9"/>
        <v>15</v>
      </c>
      <c r="B149" s="10">
        <f>IF(INDEX(rngYear,A149+1)&lt;&gt;0,INDEX(rngYear,A149+1),"")</f>
        <v>1994</v>
      </c>
      <c r="C149" s="11">
        <f>IFERROR(INDEX(rngData,MATCH($B149,rngYear,0),MATCH(OFFSET(C149,-$A149,0),rngColumnNames,0)),"")</f>
        <v>0</v>
      </c>
      <c r="D149" s="11">
        <f>IFERROR(INDEX(rngData,MATCH($B149,rngYear,0),MATCH(OFFSET(D149,-$A149,0),rngColumnNames,0)),"")</f>
        <v>0</v>
      </c>
      <c r="E149" s="11">
        <f>IFERROR(INDEX(rngData,MATCH($B149,rngYear,0),MATCH(OFFSET(E149,-$A149,0),rngColumnNames,0)),"")</f>
        <v>0</v>
      </c>
      <c r="F149" s="11">
        <f>IFERROR(INDEX(rngData,MATCH($B149,rngYear,0),MATCH(OFFSET(F149,-$A149,0),rngColumnNames,0)),"")</f>
        <v>0</v>
      </c>
      <c r="G149" s="11">
        <f t="shared" si="8"/>
        <v>0</v>
      </c>
    </row>
    <row r="150">
      <c r="A150" s="9">
        <f t="shared" si="9"/>
        <v>16</v>
      </c>
      <c r="B150" s="10">
        <f>IF(INDEX(rngYear,A150+1)&lt;&gt;0,INDEX(rngYear,A150+1),"")</f>
        <v>1995</v>
      </c>
      <c r="C150" s="11">
        <f>IFERROR(INDEX(rngData,MATCH($B150,rngYear,0),MATCH(OFFSET(C150,-$A150,0),rngColumnNames,0)),"")</f>
        <v>0</v>
      </c>
      <c r="D150" s="11">
        <f>IFERROR(INDEX(rngData,MATCH($B150,rngYear,0),MATCH(OFFSET(D150,-$A150,0),rngColumnNames,0)),"")</f>
        <v>0</v>
      </c>
      <c r="E150" s="11">
        <f>IFERROR(INDEX(rngData,MATCH($B150,rngYear,0),MATCH(OFFSET(E150,-$A150,0),rngColumnNames,0)),"")</f>
        <v>0</v>
      </c>
      <c r="F150" s="11">
        <f>IFERROR(INDEX(rngData,MATCH($B150,rngYear,0),MATCH(OFFSET(F150,-$A150,0),rngColumnNames,0)),"")</f>
        <v>0</v>
      </c>
      <c r="G150" s="11">
        <f t="shared" si="8"/>
        <v>0</v>
      </c>
    </row>
    <row r="151">
      <c r="A151" s="9">
        <f t="shared" si="9"/>
        <v>17</v>
      </c>
      <c r="B151" s="10">
        <f>IF(INDEX(rngYear,A151+1)&lt;&gt;0,INDEX(rngYear,A151+1),"")</f>
        <v>1996</v>
      </c>
      <c r="C151" s="11">
        <f>IFERROR(INDEX(rngData,MATCH($B151,rngYear,0),MATCH(OFFSET(C151,-$A151,0),rngColumnNames,0)),"")</f>
        <v>0</v>
      </c>
      <c r="D151" s="11">
        <f>IFERROR(INDEX(rngData,MATCH($B151,rngYear,0),MATCH(OFFSET(D151,-$A151,0),rngColumnNames,0)),"")</f>
        <v>0</v>
      </c>
      <c r="E151" s="11">
        <f>IFERROR(INDEX(rngData,MATCH($B151,rngYear,0),MATCH(OFFSET(E151,-$A151,0),rngColumnNames,0)),"")</f>
        <v>0</v>
      </c>
      <c r="F151" s="11">
        <f>IFERROR(INDEX(rngData,MATCH($B151,rngYear,0),MATCH(OFFSET(F151,-$A151,0),rngColumnNames,0)),"")</f>
        <v>0</v>
      </c>
      <c r="G151" s="11">
        <f t="shared" si="8"/>
        <v>0</v>
      </c>
    </row>
    <row r="152">
      <c r="A152" s="9">
        <f t="shared" si="9"/>
        <v>18</v>
      </c>
      <c r="B152" s="10">
        <f>IF(INDEX(rngYear,A152+1)&lt;&gt;0,INDEX(rngYear,A152+1),"")</f>
        <v>1997</v>
      </c>
      <c r="C152" s="11">
        <f>IFERROR(INDEX(rngData,MATCH($B152,rngYear,0),MATCH(OFFSET(C152,-$A152,0),rngColumnNames,0)),"")</f>
        <v>0</v>
      </c>
      <c r="D152" s="11">
        <f>IFERROR(INDEX(rngData,MATCH($B152,rngYear,0),MATCH(OFFSET(D152,-$A152,0),rngColumnNames,0)),"")</f>
        <v>0</v>
      </c>
      <c r="E152" s="11">
        <f>IFERROR(INDEX(rngData,MATCH($B152,rngYear,0),MATCH(OFFSET(E152,-$A152,0),rngColumnNames,0)),"")</f>
        <v>0</v>
      </c>
      <c r="F152" s="11">
        <f>IFERROR(INDEX(rngData,MATCH($B152,rngYear,0),MATCH(OFFSET(F152,-$A152,0),rngColumnNames,0)),"")</f>
        <v>0</v>
      </c>
      <c r="G152" s="11">
        <f t="shared" si="8"/>
        <v>0</v>
      </c>
    </row>
    <row r="153">
      <c r="A153" s="9">
        <f t="shared" si="9"/>
        <v>19</v>
      </c>
      <c r="B153" s="10">
        <f>IF(INDEX(rngYear,A153+1)&lt;&gt;0,INDEX(rngYear,A153+1),"")</f>
        <v>1998</v>
      </c>
      <c r="C153" s="11">
        <f>IFERROR(INDEX(rngData,MATCH($B153,rngYear,0),MATCH(OFFSET(C153,-$A153,0),rngColumnNames,0)),"")</f>
        <v>0</v>
      </c>
      <c r="D153" s="11">
        <f>IFERROR(INDEX(rngData,MATCH($B153,rngYear,0),MATCH(OFFSET(D153,-$A153,0),rngColumnNames,0)),"")</f>
        <v>0</v>
      </c>
      <c r="E153" s="11">
        <f>IFERROR(INDEX(rngData,MATCH($B153,rngYear,0),MATCH(OFFSET(E153,-$A153,0),rngColumnNames,0)),"")</f>
        <v>0</v>
      </c>
      <c r="F153" s="11">
        <f>IFERROR(INDEX(rngData,MATCH($B153,rngYear,0),MATCH(OFFSET(F153,-$A153,0),rngColumnNames,0)),"")</f>
        <v>0</v>
      </c>
      <c r="G153" s="11">
        <f t="shared" si="8"/>
        <v>0</v>
      </c>
    </row>
    <row r="154">
      <c r="A154" s="9">
        <f t="shared" si="9"/>
        <v>20</v>
      </c>
      <c r="B154" s="10">
        <f>IF(INDEX(rngYear,A154+1)&lt;&gt;0,INDEX(rngYear,A154+1),"")</f>
        <v>1999</v>
      </c>
      <c r="C154" s="11">
        <f>IFERROR(INDEX(rngData,MATCH($B154,rngYear,0),MATCH(OFFSET(C154,-$A154,0),rngColumnNames,0)),"")</f>
        <v>0</v>
      </c>
      <c r="D154" s="11">
        <f>IFERROR(INDEX(rngData,MATCH($B154,rngYear,0),MATCH(OFFSET(D154,-$A154,0),rngColumnNames,0)),"")</f>
        <v>0</v>
      </c>
      <c r="E154" s="11">
        <f>IFERROR(INDEX(rngData,MATCH($B154,rngYear,0),MATCH(OFFSET(E154,-$A154,0),rngColumnNames,0)),"")</f>
        <v>0</v>
      </c>
      <c r="F154" s="11">
        <f>IFERROR(INDEX(rngData,MATCH($B154,rngYear,0),MATCH(OFFSET(F154,-$A154,0),rngColumnNames,0)),"")</f>
        <v>0</v>
      </c>
      <c r="G154" s="11">
        <f t="shared" si="8"/>
        <v>0</v>
      </c>
    </row>
    <row r="155">
      <c r="A155" s="9">
        <f t="shared" si="9"/>
        <v>21</v>
      </c>
      <c r="B155" s="10">
        <f>IF(INDEX(rngYear,A155+1)&lt;&gt;0,INDEX(rngYear,A155+1),"")</f>
        <v>2000</v>
      </c>
      <c r="C155" s="11">
        <f>IFERROR(INDEX(rngData,MATCH($B155,rngYear,0),MATCH(OFFSET(C155,-$A155,0),rngColumnNames,0)),"")</f>
        <v>0</v>
      </c>
      <c r="D155" s="11">
        <f>IFERROR(INDEX(rngData,MATCH($B155,rngYear,0),MATCH(OFFSET(D155,-$A155,0),rngColumnNames,0)),"")</f>
        <v>0</v>
      </c>
      <c r="E155" s="11">
        <f>IFERROR(INDEX(rngData,MATCH($B155,rngYear,0),MATCH(OFFSET(E155,-$A155,0),rngColumnNames,0)),"")</f>
        <v>0</v>
      </c>
      <c r="F155" s="11">
        <f>IFERROR(INDEX(rngData,MATCH($B155,rngYear,0),MATCH(OFFSET(F155,-$A155,0),rngColumnNames,0)),"")</f>
        <v>0</v>
      </c>
      <c r="G155" s="11">
        <f t="shared" si="8"/>
        <v>0</v>
      </c>
    </row>
    <row r="156">
      <c r="A156" s="9">
        <f t="shared" si="9"/>
        <v>22</v>
      </c>
      <c r="B156" s="10">
        <f>IF(INDEX(rngYear,A156+1)&lt;&gt;0,INDEX(rngYear,A156+1),"")</f>
        <v>2001</v>
      </c>
      <c r="C156" s="11">
        <f>IFERROR(INDEX(rngData,MATCH($B156,rngYear,0),MATCH(OFFSET(C156,-$A156,0),rngColumnNames,0)),"")</f>
        <v>0</v>
      </c>
      <c r="D156" s="11">
        <f>IFERROR(INDEX(rngData,MATCH($B156,rngYear,0),MATCH(OFFSET(D156,-$A156,0),rngColumnNames,0)),"")</f>
        <v>0</v>
      </c>
      <c r="E156" s="11">
        <f>IFERROR(INDEX(rngData,MATCH($B156,rngYear,0),MATCH(OFFSET(E156,-$A156,0),rngColumnNames,0)),"")</f>
        <v>0</v>
      </c>
      <c r="F156" s="11">
        <f>IFERROR(INDEX(rngData,MATCH($B156,rngYear,0),MATCH(OFFSET(F156,-$A156,0),rngColumnNames,0)),"")</f>
        <v>0</v>
      </c>
      <c r="G156" s="11">
        <f t="shared" si="8"/>
        <v>0</v>
      </c>
    </row>
    <row r="157">
      <c r="A157" s="9">
        <f t="shared" si="9"/>
        <v>23</v>
      </c>
      <c r="B157" s="10">
        <f>IF(INDEX(rngYear,A157+1)&lt;&gt;0,INDEX(rngYear,A157+1),"")</f>
        <v>2002</v>
      </c>
      <c r="C157" s="11">
        <f>IFERROR(INDEX(rngData,MATCH($B157,rngYear,0),MATCH(OFFSET(C157,-$A157,0),rngColumnNames,0)),"")</f>
        <v>0</v>
      </c>
      <c r="D157" s="11">
        <f>IFERROR(INDEX(rngData,MATCH($B157,rngYear,0),MATCH(OFFSET(D157,-$A157,0),rngColumnNames,0)),"")</f>
        <v>0</v>
      </c>
      <c r="E157" s="11">
        <f>IFERROR(INDEX(rngData,MATCH($B157,rngYear,0),MATCH(OFFSET(E157,-$A157,0),rngColumnNames,0)),"")</f>
        <v>0</v>
      </c>
      <c r="F157" s="11">
        <f>IFERROR(INDEX(rngData,MATCH($B157,rngYear,0),MATCH(OFFSET(F157,-$A157,0),rngColumnNames,0)),"")</f>
        <v>0</v>
      </c>
      <c r="G157" s="11">
        <f t="shared" si="8"/>
        <v>0</v>
      </c>
    </row>
    <row r="158">
      <c r="A158" s="9">
        <f t="shared" si="9"/>
        <v>24</v>
      </c>
      <c r="B158" s="10">
        <f>IF(INDEX(rngYear,A158+1)&lt;&gt;0,INDEX(rngYear,A158+1),"")</f>
        <v>2003</v>
      </c>
      <c r="C158" s="11">
        <f>IFERROR(INDEX(rngData,MATCH($B158,rngYear,0),MATCH(OFFSET(C158,-$A158,0),rngColumnNames,0)),"")</f>
        <v>0</v>
      </c>
      <c r="D158" s="11">
        <f>IFERROR(INDEX(rngData,MATCH($B158,rngYear,0),MATCH(OFFSET(D158,-$A158,0),rngColumnNames,0)),"")</f>
        <v>0</v>
      </c>
      <c r="E158" s="11">
        <f>IFERROR(INDEX(rngData,MATCH($B158,rngYear,0),MATCH(OFFSET(E158,-$A158,0),rngColumnNames,0)),"")</f>
        <v>0</v>
      </c>
      <c r="F158" s="11">
        <f>IFERROR(INDEX(rngData,MATCH($B158,rngYear,0),MATCH(OFFSET(F158,-$A158,0),rngColumnNames,0)),"")</f>
        <v>0</v>
      </c>
      <c r="G158" s="11">
        <f t="shared" si="8"/>
        <v>0</v>
      </c>
    </row>
    <row r="159">
      <c r="A159" s="9">
        <f t="shared" si="9"/>
        <v>25</v>
      </c>
      <c r="B159" s="10">
        <f>IF(INDEX(rngYear,A159+1)&lt;&gt;0,INDEX(rngYear,A159+1),"")</f>
        <v>2004</v>
      </c>
      <c r="C159" s="11">
        <f>IFERROR(INDEX(rngData,MATCH($B159,rngYear,0),MATCH(OFFSET(C159,-$A159,0),rngColumnNames,0)),"")</f>
        <v>0</v>
      </c>
      <c r="D159" s="11">
        <f>IFERROR(INDEX(rngData,MATCH($B159,rngYear,0),MATCH(OFFSET(D159,-$A159,0),rngColumnNames,0)),"")</f>
        <v>0</v>
      </c>
      <c r="E159" s="11">
        <f>IFERROR(INDEX(rngData,MATCH($B159,rngYear,0),MATCH(OFFSET(E159,-$A159,0),rngColumnNames,0)),"")</f>
        <v>0</v>
      </c>
      <c r="F159" s="11">
        <f>IFERROR(INDEX(rngData,MATCH($B159,rngYear,0),MATCH(OFFSET(F159,-$A159,0),rngColumnNames,0)),"")</f>
        <v>0</v>
      </c>
      <c r="G159" s="11">
        <f t="shared" si="8"/>
        <v>0</v>
      </c>
    </row>
    <row r="160">
      <c r="A160" s="9">
        <f t="shared" si="9"/>
        <v>26</v>
      </c>
      <c r="B160" s="10">
        <f>IF(INDEX(rngYear,A160+1)&lt;&gt;0,INDEX(rngYear,A160+1),"")</f>
        <v>2005</v>
      </c>
      <c r="C160" s="11">
        <f>IFERROR(INDEX(rngData,MATCH($B160,rngYear,0),MATCH(OFFSET(C160,-$A160,0),rngColumnNames,0)),"")</f>
        <v>0</v>
      </c>
      <c r="D160" s="11">
        <f>IFERROR(INDEX(rngData,MATCH($B160,rngYear,0),MATCH(OFFSET(D160,-$A160,0),rngColumnNames,0)),"")</f>
        <v>0</v>
      </c>
      <c r="E160" s="11">
        <f>IFERROR(INDEX(rngData,MATCH($B160,rngYear,0),MATCH(OFFSET(E160,-$A160,0),rngColumnNames,0)),"")</f>
        <v>0</v>
      </c>
      <c r="F160" s="11">
        <f>IFERROR(INDEX(rngData,MATCH($B160,rngYear,0),MATCH(OFFSET(F160,-$A160,0),rngColumnNames,0)),"")</f>
        <v>0</v>
      </c>
      <c r="G160" s="11">
        <f t="shared" si="8"/>
        <v>0</v>
      </c>
    </row>
    <row r="161">
      <c r="A161" s="9">
        <f t="shared" si="9"/>
        <v>27</v>
      </c>
      <c r="B161" s="10">
        <f>IF(INDEX(rngYear,A161+1)&lt;&gt;0,INDEX(rngYear,A161+1),"")</f>
        <v>2006</v>
      </c>
      <c r="C161" s="11">
        <f>IFERROR(INDEX(rngData,MATCH($B161,rngYear,0),MATCH(OFFSET(C161,-$A161,0),rngColumnNames,0)),"")</f>
        <v>0</v>
      </c>
      <c r="D161" s="11">
        <f>IFERROR(INDEX(rngData,MATCH($B161,rngYear,0),MATCH(OFFSET(D161,-$A161,0),rngColumnNames,0)),"")</f>
        <v>0</v>
      </c>
      <c r="E161" s="11">
        <f>IFERROR(INDEX(rngData,MATCH($B161,rngYear,0),MATCH(OFFSET(E161,-$A161,0),rngColumnNames,0)),"")</f>
        <v>0</v>
      </c>
      <c r="F161" s="11">
        <f>IFERROR(INDEX(rngData,MATCH($B161,rngYear,0),MATCH(OFFSET(F161,-$A161,0),rngColumnNames,0)),"")</f>
        <v>0</v>
      </c>
      <c r="G161" s="11">
        <f t="shared" si="8"/>
        <v>0</v>
      </c>
    </row>
    <row r="162">
      <c r="A162" s="9">
        <f t="shared" si="9"/>
        <v>28</v>
      </c>
      <c r="B162" s="10">
        <f>IF(INDEX(rngYear,A162+1)&lt;&gt;0,INDEX(rngYear,A162+1),"")</f>
        <v>2007</v>
      </c>
      <c r="C162" s="11">
        <f>IFERROR(INDEX(rngData,MATCH($B162,rngYear,0),MATCH(OFFSET(C162,-$A162,0),rngColumnNames,0)),"")</f>
        <v>0</v>
      </c>
      <c r="D162" s="11">
        <f>IFERROR(INDEX(rngData,MATCH($B162,rngYear,0),MATCH(OFFSET(D162,-$A162,0),rngColumnNames,0)),"")</f>
        <v>0</v>
      </c>
      <c r="E162" s="11">
        <f>IFERROR(INDEX(rngData,MATCH($B162,rngYear,0),MATCH(OFFSET(E162,-$A162,0),rngColumnNames,0)),"")</f>
        <v>0</v>
      </c>
      <c r="F162" s="11">
        <f>IFERROR(INDEX(rngData,MATCH($B162,rngYear,0),MATCH(OFFSET(F162,-$A162,0),rngColumnNames,0)),"")</f>
        <v>0</v>
      </c>
      <c r="G162" s="11">
        <f t="shared" si="8"/>
        <v>0</v>
      </c>
    </row>
    <row r="163">
      <c r="A163" s="9">
        <f t="shared" si="9"/>
        <v>29</v>
      </c>
      <c r="B163" s="10">
        <f>IF(INDEX(rngYear,A163+1)&lt;&gt;0,INDEX(rngYear,A163+1),"")</f>
        <v>2008</v>
      </c>
      <c r="C163" s="11">
        <f>IFERROR(INDEX(rngData,MATCH($B163,rngYear,0),MATCH(OFFSET(C163,-$A163,0),rngColumnNames,0)),"")</f>
        <v>0</v>
      </c>
      <c r="D163" s="11">
        <f>IFERROR(INDEX(rngData,MATCH($B163,rngYear,0),MATCH(OFFSET(D163,-$A163,0),rngColumnNames,0)),"")</f>
        <v>0</v>
      </c>
      <c r="E163" s="11">
        <f>IFERROR(INDEX(rngData,MATCH($B163,rngYear,0),MATCH(OFFSET(E163,-$A163,0),rngColumnNames,0)),"")</f>
        <v>0</v>
      </c>
      <c r="F163" s="11">
        <f>IFERROR(INDEX(rngData,MATCH($B163,rngYear,0),MATCH(OFFSET(F163,-$A163,0),rngColumnNames,0)),"")</f>
        <v>0</v>
      </c>
      <c r="G163" s="11">
        <f t="shared" si="8"/>
        <v>0</v>
      </c>
    </row>
    <row r="164">
      <c r="A164" s="9">
        <f t="shared" si="9"/>
        <v>30</v>
      </c>
      <c r="B164" s="10">
        <f>IF(INDEX(rngYear,A164+1)&lt;&gt;0,INDEX(rngYear,A164+1),"")</f>
        <v>2009</v>
      </c>
      <c r="C164" s="11">
        <f>IFERROR(INDEX(rngData,MATCH($B164,rngYear,0),MATCH(OFFSET(C164,-$A164,0),rngColumnNames,0)),"")</f>
        <v>0</v>
      </c>
      <c r="D164" s="11">
        <f>IFERROR(INDEX(rngData,MATCH($B164,rngYear,0),MATCH(OFFSET(D164,-$A164,0),rngColumnNames,0)),"")</f>
        <v>0</v>
      </c>
      <c r="E164" s="11">
        <f>IFERROR(INDEX(rngData,MATCH($B164,rngYear,0),MATCH(OFFSET(E164,-$A164,0),rngColumnNames,0)),"")</f>
        <v>0</v>
      </c>
      <c r="F164" s="11">
        <f>IFERROR(INDEX(rngData,MATCH($B164,rngYear,0),MATCH(OFFSET(F164,-$A164,0),rngColumnNames,0)),"")</f>
        <v>0</v>
      </c>
      <c r="G164" s="11">
        <f t="shared" si="8"/>
        <v>0</v>
      </c>
    </row>
    <row r="165">
      <c r="A165" s="9">
        <f t="shared" si="9"/>
        <v>31</v>
      </c>
      <c r="B165" s="10">
        <f>IF(INDEX(rngYear,A165+1)&lt;&gt;0,INDEX(rngYear,A165+1),"")</f>
        <v>2010</v>
      </c>
      <c r="C165" s="11">
        <f>IFERROR(INDEX(rngData,MATCH($B165,rngYear,0),MATCH(OFFSET(C165,-$A165,0),rngColumnNames,0)),"")</f>
        <v>0</v>
      </c>
      <c r="D165" s="11">
        <f>IFERROR(INDEX(rngData,MATCH($B165,rngYear,0),MATCH(OFFSET(D165,-$A165,0),rngColumnNames,0)),"")</f>
        <v>0</v>
      </c>
      <c r="E165" s="11">
        <f>IFERROR(INDEX(rngData,MATCH($B165,rngYear,0),MATCH(OFFSET(E165,-$A165,0),rngColumnNames,0)),"")</f>
        <v>0</v>
      </c>
      <c r="F165" s="11">
        <f>IFERROR(INDEX(rngData,MATCH($B165,rngYear,0),MATCH(OFFSET(F165,-$A165,0),rngColumnNames,0)),"")</f>
        <v>0</v>
      </c>
      <c r="G165" s="11">
        <f t="shared" si="8"/>
        <v>0</v>
      </c>
    </row>
    <row r="166">
      <c r="A166" s="9">
        <f t="shared" si="9"/>
        <v>32</v>
      </c>
      <c r="B166" s="10">
        <f>IF(INDEX(rngYear,A166+1)&lt;&gt;0,INDEX(rngYear,A166+1),"")</f>
        <v>2011</v>
      </c>
      <c r="C166" s="11">
        <f>IFERROR(INDEX(rngData,MATCH($B166,rngYear,0),MATCH(OFFSET(C166,-$A166,0),rngColumnNames,0)),"")</f>
        <v>0</v>
      </c>
      <c r="D166" s="11">
        <f>IFERROR(INDEX(rngData,MATCH($B166,rngYear,0),MATCH(OFFSET(D166,-$A166,0),rngColumnNames,0)),"")</f>
        <v>0</v>
      </c>
      <c r="E166" s="11">
        <f>IFERROR(INDEX(rngData,MATCH($B166,rngYear,0),MATCH(OFFSET(E166,-$A166,0),rngColumnNames,0)),"")</f>
        <v>0</v>
      </c>
      <c r="F166" s="11">
        <f>IFERROR(INDEX(rngData,MATCH($B166,rngYear,0),MATCH(OFFSET(F166,-$A166,0),rngColumnNames,0)),"")</f>
        <v>0</v>
      </c>
      <c r="G166" s="11">
        <f t="shared" si="8"/>
        <v>0</v>
      </c>
    </row>
    <row r="167">
      <c r="A167" s="9">
        <f t="shared" si="9"/>
        <v>33</v>
      </c>
      <c r="B167" s="10">
        <f>IF(INDEX(rngYear,A167+1)&lt;&gt;0,INDEX(rngYear,A167+1),"")</f>
        <v>2012</v>
      </c>
      <c r="C167" s="11">
        <f>IFERROR(INDEX(rngData,MATCH($B167,rngYear,0),MATCH(OFFSET(C167,-$A167,0),rngColumnNames,0)),"")</f>
        <v>0</v>
      </c>
      <c r="D167" s="11">
        <f>IFERROR(INDEX(rngData,MATCH($B167,rngYear,0),MATCH(OFFSET(D167,-$A167,0),rngColumnNames,0)),"")</f>
        <v>0</v>
      </c>
      <c r="E167" s="11">
        <f>IFERROR(INDEX(rngData,MATCH($B167,rngYear,0),MATCH(OFFSET(E167,-$A167,0),rngColumnNames,0)),"")</f>
        <v>0</v>
      </c>
      <c r="F167" s="11">
        <f>IFERROR(INDEX(rngData,MATCH($B167,rngYear,0),MATCH(OFFSET(F167,-$A167,0),rngColumnNames,0)),"")</f>
        <v>0</v>
      </c>
      <c r="G167" s="11">
        <f ref="G167:G194" t="shared" si="10">IFERROR(F167-E167,"")</f>
        <v>0</v>
      </c>
    </row>
    <row r="168" hidden="1">
      <c r="A168" s="9">
        <f ref="A168:A194" t="shared" si="11">A167+1</f>
        <v>34</v>
      </c>
      <c r="B168" s="10">
        <f>IF(INDEX(rngYear,A168+1)&lt;&gt;0,INDEX(rngYear,A168+1),"")</f>
      </c>
      <c r="C168" s="11">
        <f>IFERROR(INDEX(rngData,MATCH($B168,rngYear,0),MATCH(OFFSET(C168,-$A168,0),rngColumnNames,0)),"")</f>
      </c>
      <c r="D168" s="11">
        <f>IFERROR(INDEX(rngData,MATCH($B168,rngYear,0),MATCH(OFFSET(D168,-$A168,0),rngColumnNames,0)),"")</f>
      </c>
      <c r="E168" s="11">
        <f>IFERROR(INDEX(rngData,MATCH($B168,rngYear,0),MATCH(OFFSET(E168,-$A168,0),rngColumnNames,0)),"")</f>
      </c>
      <c r="F168" s="11">
        <f>IFERROR(INDEX(rngData,MATCH($B168,rngYear,0),MATCH(OFFSET(F168,-$A168,0),rngColumnNames,0)),"")</f>
      </c>
      <c r="G168" s="11">
        <f t="shared" si="10"/>
      </c>
    </row>
    <row r="169" hidden="1">
      <c r="A169" s="9">
        <f t="shared" si="11"/>
        <v>35</v>
      </c>
      <c r="B169" s="10">
        <f>IF(INDEX(rngYear,A169+1)&lt;&gt;0,INDEX(rngYear,A169+1),"")</f>
      </c>
      <c r="C169" s="11">
        <f>IFERROR(INDEX(rngData,MATCH($B169,rngYear,0),MATCH(OFFSET(C169,-$A169,0),rngColumnNames,0)),"")</f>
      </c>
      <c r="D169" s="11">
        <f>IFERROR(INDEX(rngData,MATCH($B169,rngYear,0),MATCH(OFFSET(D169,-$A169,0),rngColumnNames,0)),"")</f>
      </c>
      <c r="E169" s="11">
        <f>IFERROR(INDEX(rngData,MATCH($B169,rngYear,0),MATCH(OFFSET(E169,-$A169,0),rngColumnNames,0)),"")</f>
      </c>
      <c r="F169" s="11">
        <f>IFERROR(INDEX(rngData,MATCH($B169,rngYear,0),MATCH(OFFSET(F169,-$A169,0),rngColumnNames,0)),"")</f>
      </c>
      <c r="G169" s="11">
        <f t="shared" si="10"/>
      </c>
    </row>
    <row r="170" hidden="1">
      <c r="A170" s="9">
        <f t="shared" si="11"/>
        <v>36</v>
      </c>
      <c r="B170" s="10">
        <f>IF(INDEX(rngYear,A170+1)&lt;&gt;0,INDEX(rngYear,A170+1),"")</f>
      </c>
      <c r="C170" s="11">
        <f>IFERROR(INDEX(rngData,MATCH($B170,rngYear,0),MATCH(OFFSET(C170,-$A170,0),rngColumnNames,0)),"")</f>
      </c>
      <c r="D170" s="11">
        <f>IFERROR(INDEX(rngData,MATCH($B170,rngYear,0),MATCH(OFFSET(D170,-$A170,0),rngColumnNames,0)),"")</f>
      </c>
      <c r="E170" s="11">
        <f>IFERROR(INDEX(rngData,MATCH($B170,rngYear,0),MATCH(OFFSET(E170,-$A170,0),rngColumnNames,0)),"")</f>
      </c>
      <c r="F170" s="11">
        <f>IFERROR(INDEX(rngData,MATCH($B170,rngYear,0),MATCH(OFFSET(F170,-$A170,0),rngColumnNames,0)),"")</f>
      </c>
      <c r="G170" s="11">
        <f t="shared" si="10"/>
      </c>
    </row>
    <row r="171" hidden="1">
      <c r="A171" s="9">
        <f t="shared" si="11"/>
        <v>37</v>
      </c>
      <c r="B171" s="10">
        <f>IF(INDEX(rngYear,A171+1)&lt;&gt;0,INDEX(rngYear,A171+1),"")</f>
      </c>
      <c r="C171" s="11">
        <f>IFERROR(INDEX(rngData,MATCH($B171,rngYear,0),MATCH(OFFSET(C171,-$A171,0),rngColumnNames,0)),"")</f>
      </c>
      <c r="D171" s="11">
        <f>IFERROR(INDEX(rngData,MATCH($B171,rngYear,0),MATCH(OFFSET(D171,-$A171,0),rngColumnNames,0)),"")</f>
      </c>
      <c r="E171" s="11">
        <f>IFERROR(INDEX(rngData,MATCH($B171,rngYear,0),MATCH(OFFSET(E171,-$A171,0),rngColumnNames,0)),"")</f>
      </c>
      <c r="F171" s="11">
        <f>IFERROR(INDEX(rngData,MATCH($B171,rngYear,0),MATCH(OFFSET(F171,-$A171,0),rngColumnNames,0)),"")</f>
      </c>
      <c r="G171" s="11">
        <f t="shared" si="10"/>
      </c>
    </row>
    <row r="172" hidden="1">
      <c r="A172" s="9">
        <f t="shared" si="11"/>
        <v>38</v>
      </c>
      <c r="B172" s="10">
        <f>IF(INDEX(rngYear,A172+1)&lt;&gt;0,INDEX(rngYear,A172+1),"")</f>
      </c>
      <c r="C172" s="11">
        <f>IFERROR(INDEX(rngData,MATCH($B172,rngYear,0),MATCH(OFFSET(C172,-$A172,0),rngColumnNames,0)),"")</f>
      </c>
      <c r="D172" s="11">
        <f>IFERROR(INDEX(rngData,MATCH($B172,rngYear,0),MATCH(OFFSET(D172,-$A172,0),rngColumnNames,0)),"")</f>
      </c>
      <c r="E172" s="11">
        <f>IFERROR(INDEX(rngData,MATCH($B172,rngYear,0),MATCH(OFFSET(E172,-$A172,0),rngColumnNames,0)),"")</f>
      </c>
      <c r="F172" s="11">
        <f>IFERROR(INDEX(rngData,MATCH($B172,rngYear,0),MATCH(OFFSET(F172,-$A172,0),rngColumnNames,0)),"")</f>
      </c>
      <c r="G172" s="11">
        <f t="shared" si="10"/>
      </c>
    </row>
    <row r="173" hidden="1">
      <c r="A173" s="9">
        <f t="shared" si="11"/>
        <v>39</v>
      </c>
      <c r="B173" s="10">
        <f>IF(INDEX(rngYear,A173+1)&lt;&gt;0,INDEX(rngYear,A173+1),"")</f>
      </c>
      <c r="C173" s="11">
        <f>IFERROR(INDEX(rngData,MATCH($B173,rngYear,0),MATCH(OFFSET(C173,-$A173,0),rngColumnNames,0)),"")</f>
      </c>
      <c r="D173" s="11">
        <f>IFERROR(INDEX(rngData,MATCH($B173,rngYear,0),MATCH(OFFSET(D173,-$A173,0),rngColumnNames,0)),"")</f>
      </c>
      <c r="E173" s="11">
        <f>IFERROR(INDEX(rngData,MATCH($B173,rngYear,0),MATCH(OFFSET(E173,-$A173,0),rngColumnNames,0)),"")</f>
      </c>
      <c r="F173" s="11">
        <f>IFERROR(INDEX(rngData,MATCH($B173,rngYear,0),MATCH(OFFSET(F173,-$A173,0),rngColumnNames,0)),"")</f>
      </c>
      <c r="G173" s="11">
        <f t="shared" si="10"/>
      </c>
    </row>
    <row r="174" hidden="1">
      <c r="A174" s="9">
        <f t="shared" si="11"/>
        <v>40</v>
      </c>
      <c r="B174" s="10">
        <f>IF(INDEX(rngYear,A174+1)&lt;&gt;0,INDEX(rngYear,A174+1),"")</f>
      </c>
      <c r="C174" s="11">
        <f>IFERROR(INDEX(rngData,MATCH($B174,rngYear,0),MATCH(OFFSET(C174,-$A174,0),rngColumnNames,0)),"")</f>
      </c>
      <c r="D174" s="11">
        <f>IFERROR(INDEX(rngData,MATCH($B174,rngYear,0),MATCH(OFFSET(D174,-$A174,0),rngColumnNames,0)),"")</f>
      </c>
      <c r="E174" s="11">
        <f>IFERROR(INDEX(rngData,MATCH($B174,rngYear,0),MATCH(OFFSET(E174,-$A174,0),rngColumnNames,0)),"")</f>
      </c>
      <c r="F174" s="11">
        <f>IFERROR(INDEX(rngData,MATCH($B174,rngYear,0),MATCH(OFFSET(F174,-$A174,0),rngColumnNames,0)),"")</f>
      </c>
      <c r="G174" s="11">
        <f t="shared" si="10"/>
      </c>
    </row>
    <row r="175" hidden="1">
      <c r="A175" s="9">
        <f t="shared" si="11"/>
        <v>41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>IFERROR(INDEX(rngData,MATCH($B175,rngYear,0),MATCH(OFFSET(F175,-$A175,0),rngColumnNames,0)),"")</f>
      </c>
      <c r="G175" s="11">
        <f t="shared" si="10"/>
      </c>
    </row>
    <row r="176" hidden="1">
      <c r="A176" s="9">
        <f t="shared" si="11"/>
        <v>42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>IFERROR(INDEX(rngData,MATCH($B176,rngYear,0),MATCH(OFFSET(F176,-$A176,0),rngColumnNames,0)),"")</f>
      </c>
      <c r="G176" s="11">
        <f t="shared" si="10"/>
      </c>
    </row>
    <row r="177" hidden="1">
      <c r="A177" s="9">
        <f t="shared" si="11"/>
        <v>43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>IFERROR(INDEX(rngData,MATCH($B177,rngYear,0),MATCH(OFFSET(F177,-$A177,0),rngColumnNames,0)),"")</f>
      </c>
      <c r="G177" s="11">
        <f t="shared" si="10"/>
      </c>
    </row>
    <row r="178" hidden="1">
      <c r="A178" s="9">
        <f t="shared" si="11"/>
        <v>44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>IFERROR(INDEX(rngData,MATCH($B178,rngYear,0),MATCH(OFFSET(F178,-$A178,0),rngColumnNames,0)),"")</f>
      </c>
      <c r="G178" s="11">
        <f t="shared" si="10"/>
      </c>
    </row>
    <row r="179" hidden="1">
      <c r="A179" s="9">
        <f t="shared" si="11"/>
        <v>45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>IFERROR(INDEX(rngData,MATCH($B179,rngYear,0),MATCH(OFFSET(F179,-$A179,0),rngColumnNames,0)),"")</f>
      </c>
      <c r="G179" s="11">
        <f t="shared" si="10"/>
      </c>
    </row>
    <row r="180" hidden="1">
      <c r="A180" s="9">
        <f t="shared" si="11"/>
        <v>46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>IFERROR(INDEX(rngData,MATCH($B180,rngYear,0),MATCH(OFFSET(F180,-$A180,0),rngColumnNames,0)),"")</f>
      </c>
      <c r="G180" s="11">
        <f t="shared" si="10"/>
      </c>
    </row>
    <row r="181" hidden="1">
      <c r="A181" s="9">
        <f t="shared" si="11"/>
        <v>47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>IFERROR(INDEX(rngData,MATCH($B181,rngYear,0),MATCH(OFFSET(F181,-$A181,0),rngColumnNames,0)),"")</f>
      </c>
      <c r="G181" s="11">
        <f t="shared" si="10"/>
      </c>
    </row>
    <row r="182" hidden="1">
      <c r="A182" s="9">
        <f t="shared" si="11"/>
        <v>48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>IFERROR(INDEX(rngData,MATCH($B182,rngYear,0),MATCH(OFFSET(F182,-$A182,0),rngColumnNames,0)),"")</f>
      </c>
      <c r="G182" s="11">
        <f t="shared" si="10"/>
      </c>
    </row>
    <row r="183" hidden="1">
      <c r="A183" s="9">
        <f t="shared" si="11"/>
        <v>49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>IFERROR(INDEX(rngData,MATCH($B183,rngYear,0),MATCH(OFFSET(F183,-$A183,0),rngColumnNames,0)),"")</f>
      </c>
      <c r="G183" s="11">
        <f t="shared" si="10"/>
      </c>
    </row>
    <row r="184" hidden="1">
      <c r="A184" s="9">
        <f t="shared" si="11"/>
        <v>50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>IFERROR(INDEX(rngData,MATCH($B184,rngYear,0),MATCH(OFFSET(F184,-$A184,0),rngColumnNames,0)),"")</f>
      </c>
      <c r="G184" s="11">
        <f t="shared" si="10"/>
      </c>
    </row>
    <row r="185" hidden="1">
      <c r="A185" s="9">
        <f t="shared" si="11"/>
        <v>51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>IFERROR(INDEX(rngData,MATCH($B185,rngYear,0),MATCH(OFFSET(F185,-$A185,0),rngColumnNames,0)),"")</f>
      </c>
      <c r="G185" s="11">
        <f t="shared" si="10"/>
      </c>
    </row>
    <row r="186" hidden="1">
      <c r="A186" s="9">
        <f t="shared" si="11"/>
        <v>52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>IFERROR(INDEX(rngData,MATCH($B186,rngYear,0),MATCH(OFFSET(F186,-$A186,0),rngColumnNames,0)),"")</f>
      </c>
      <c r="G186" s="11">
        <f t="shared" si="10"/>
      </c>
    </row>
    <row r="187" hidden="1">
      <c r="A187" s="9">
        <f t="shared" si="11"/>
        <v>53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>IFERROR(INDEX(rngData,MATCH($B187,rngYear,0),MATCH(OFFSET(F187,-$A187,0),rngColumnNames,0)),"")</f>
      </c>
      <c r="G187" s="11">
        <f t="shared" si="10"/>
      </c>
    </row>
    <row r="188" hidden="1">
      <c r="A188" s="9">
        <f t="shared" si="11"/>
        <v>54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>IFERROR(INDEX(rngData,MATCH($B188,rngYear,0),MATCH(OFFSET(F188,-$A188,0),rngColumnNames,0)),"")</f>
      </c>
      <c r="G188" s="11">
        <f t="shared" si="10"/>
      </c>
    </row>
    <row r="189" hidden="1">
      <c r="A189" s="9">
        <f t="shared" si="11"/>
        <v>55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>IFERROR(INDEX(rngData,MATCH($B189,rngYear,0),MATCH(OFFSET(F189,-$A189,0),rngColumnNames,0)),"")</f>
      </c>
      <c r="G189" s="11">
        <f t="shared" si="10"/>
      </c>
    </row>
    <row r="190" hidden="1">
      <c r="A190" s="9">
        <f t="shared" si="11"/>
        <v>56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>IFERROR(INDEX(rngData,MATCH($B190,rngYear,0),MATCH(OFFSET(F190,-$A190,0),rngColumnNames,0)),"")</f>
      </c>
      <c r="G190" s="11">
        <f t="shared" si="10"/>
      </c>
    </row>
    <row r="191" hidden="1">
      <c r="A191" s="9">
        <f t="shared" si="11"/>
        <v>57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>IFERROR(INDEX(rngData,MATCH($B191,rngYear,0),MATCH(OFFSET(F191,-$A191,0),rngColumnNames,0)),"")</f>
      </c>
      <c r="G191" s="11">
        <f t="shared" si="10"/>
      </c>
    </row>
    <row r="192" hidden="1">
      <c r="A192" s="9">
        <f t="shared" si="11"/>
        <v>58</v>
      </c>
      <c r="B192" s="10">
        <f>IF(INDEX(rngYear,A192+1)&lt;&gt;0,INDEX(rngYear,A192+1),"")</f>
      </c>
      <c r="C192" s="11">
        <f>IFERROR(INDEX(rngData,MATCH($B192,rngYear,0),MATCH(OFFSET(C192,-$A192,0),rngColumnNames,0)),"")</f>
      </c>
      <c r="D192" s="11">
        <f>IFERROR(INDEX(rngData,MATCH($B192,rngYear,0),MATCH(OFFSET(D192,-$A192,0),rngColumnNames,0)),"")</f>
      </c>
      <c r="E192" s="11">
        <f>IFERROR(INDEX(rngData,MATCH($B192,rngYear,0),MATCH(OFFSET(E192,-$A192,0),rngColumnNames,0)),"")</f>
      </c>
      <c r="F192" s="11">
        <f>IFERROR(INDEX(rngData,MATCH($B192,rngYear,0),MATCH(OFFSET(F192,-$A192,0),rngColumnNames,0)),"")</f>
      </c>
      <c r="G192" s="11">
        <f t="shared" si="10"/>
      </c>
    </row>
    <row r="193" hidden="1">
      <c r="A193" s="9">
        <f t="shared" si="11"/>
        <v>59</v>
      </c>
      <c r="B193" s="10">
        <f>IF(INDEX(rngYear,A193+1)&lt;&gt;0,INDEX(rngYear,A193+1),"")</f>
      </c>
      <c r="C193" s="11">
        <f>IFERROR(INDEX(rngData,MATCH($B193,rngYear,0),MATCH(OFFSET(C193,-$A193,0),rngColumnNames,0)),"")</f>
      </c>
      <c r="D193" s="11">
        <f>IFERROR(INDEX(rngData,MATCH($B193,rngYear,0),MATCH(OFFSET(D193,-$A193,0),rngColumnNames,0)),"")</f>
      </c>
      <c r="E193" s="11">
        <f>IFERROR(INDEX(rngData,MATCH($B193,rngYear,0),MATCH(OFFSET(E193,-$A193,0),rngColumnNames,0)),"")</f>
      </c>
      <c r="F193" s="11">
        <f>IFERROR(INDEX(rngData,MATCH($B193,rngYear,0),MATCH(OFFSET(F193,-$A193,0),rngColumnNames,0)),"")</f>
      </c>
      <c r="G193" s="11">
        <f t="shared" si="10"/>
      </c>
    </row>
    <row r="194" hidden="1">
      <c r="A194" s="9">
        <f t="shared" si="11"/>
        <v>60</v>
      </c>
      <c r="B194" s="10">
        <f>IF(INDEX(rngYear,A194+1)&lt;&gt;0,INDEX(rngYear,A194+1),"")</f>
      </c>
      <c r="C194" s="11">
        <f>IFERROR(INDEX(rngData,MATCH($B194,rngYear,0),MATCH(OFFSET(C194,-$A194,0),rngColumnNames,0)),"")</f>
      </c>
      <c r="D194" s="11">
        <f>IFERROR(INDEX(rngData,MATCH($B194,rngYear,0),MATCH(OFFSET(D194,-$A194,0),rngColumnNames,0)),"")</f>
      </c>
      <c r="E194" s="11">
        <f>IFERROR(INDEX(rngData,MATCH($B194,rngYear,0),MATCH(OFFSET(E194,-$A194,0),rngColumnNames,0)),"")</f>
      </c>
      <c r="F194" s="11">
        <f>IFERROR(INDEX(rngData,MATCH($B194,rngYear,0),MATCH(OFFSET(F194,-$A194,0),rngColumnNames,0)),"")</f>
      </c>
      <c r="G194" s="11">
        <f t="shared" si="10"/>
      </c>
    </row>
    <row r="196" ht="19.5" customHeight="1">
      <c r="A196" s="16" t="s">
        <v>98</v>
      </c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</row>
    <row r="197" ht="15" customHeight="1">
      <c r="B197" s="4"/>
      <c r="C197" s="5" t="s">
        <v>95</v>
      </c>
      <c r="D197" s="5" t="s">
        <v>81</v>
      </c>
      <c r="E197" s="17" t="s">
        <v>82</v>
      </c>
      <c r="F197" s="18"/>
      <c r="G197" s="19"/>
    </row>
    <row r="198" ht="22.5" customHeight="1">
      <c r="A198" s="6" t="s">
        <v>83</v>
      </c>
      <c r="B198" s="7" t="s">
        <v>4</v>
      </c>
      <c r="C198" s="7" t="s">
        <v>9</v>
      </c>
      <c r="D198" s="7" t="s">
        <v>13</v>
      </c>
      <c r="E198" s="7" t="s">
        <v>38</v>
      </c>
      <c r="F198" s="7" t="s">
        <v>39</v>
      </c>
      <c r="G198" s="8" t="s">
        <v>82</v>
      </c>
    </row>
    <row r="199">
      <c r="A199" s="9">
        <v>1</v>
      </c>
      <c r="B199" s="10">
        <f>IF(INDEX(rngYear,A199+1)&lt;&gt;0,INDEX(rngYear,A199+1),"")</f>
        <v>1980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>IFERROR(INDEX(rngData,MATCH($B199,rngYear,0),MATCH(OFFSET(F199,-$A199,0),rngColumnNames,0)),"")</f>
        <v>0</v>
      </c>
      <c r="G199" s="11">
        <f ref="G199:G230" t="shared" si="12">IFERROR(F199-E199,"")</f>
        <v>0</v>
      </c>
    </row>
    <row r="200">
      <c r="A200" s="9">
        <f ref="A200:A231" t="shared" si="13">A199+1</f>
        <v>2</v>
      </c>
      <c r="B200" s="10">
        <f>IF(INDEX(rngYear,A200+1)&lt;&gt;0,INDEX(rngYear,A200+1),"")</f>
        <v>1981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>IFERROR(INDEX(rngData,MATCH($B200,rngYear,0),MATCH(OFFSET(F200,-$A200,0),rngColumnNames,0)),"")</f>
        <v>0</v>
      </c>
      <c r="G200" s="11">
        <f t="shared" si="12"/>
        <v>0</v>
      </c>
    </row>
    <row r="201">
      <c r="A201" s="9">
        <f t="shared" si="13"/>
        <v>3</v>
      </c>
      <c r="B201" s="10">
        <f>IF(INDEX(rngYear,A201+1)&lt;&gt;0,INDEX(rngYear,A201+1),"")</f>
        <v>1982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>IFERROR(INDEX(rngData,MATCH($B201,rngYear,0),MATCH(OFFSET(F201,-$A201,0),rngColumnNames,0)),"")</f>
        <v>0</v>
      </c>
      <c r="G201" s="11">
        <f t="shared" si="12"/>
        <v>0</v>
      </c>
    </row>
    <row r="202">
      <c r="A202" s="9">
        <f t="shared" si="13"/>
        <v>4</v>
      </c>
      <c r="B202" s="10">
        <f>IF(INDEX(rngYear,A202+1)&lt;&gt;0,INDEX(rngYear,A202+1),"")</f>
        <v>1983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>IFERROR(INDEX(rngData,MATCH($B202,rngYear,0),MATCH(OFFSET(F202,-$A202,0),rngColumnNames,0)),"")</f>
        <v>0</v>
      </c>
      <c r="G202" s="11">
        <f t="shared" si="12"/>
        <v>0</v>
      </c>
    </row>
    <row r="203">
      <c r="A203" s="9">
        <f t="shared" si="13"/>
        <v>5</v>
      </c>
      <c r="B203" s="10">
        <f>IF(INDEX(rngYear,A203+1)&lt;&gt;0,INDEX(rngYear,A203+1),"")</f>
        <v>1984</v>
      </c>
      <c r="C203" s="11">
        <f>IFERROR(INDEX(rngData,MATCH($B203,rngYear,0),MATCH(OFFSET(C203,-$A203,0),rngColumnNames,0)),"")</f>
        <v>0</v>
      </c>
      <c r="D203" s="11">
        <f>IFERROR(INDEX(rngData,MATCH($B203,rngYear,0),MATCH(OFFSET(D203,-$A203,0),rngColumnNames,0)),"")</f>
        <v>0</v>
      </c>
      <c r="E203" s="11">
        <f>IFERROR(INDEX(rngData,MATCH($B203,rngYear,0),MATCH(OFFSET(E203,-$A203,0),rngColumnNames,0)),"")</f>
        <v>0</v>
      </c>
      <c r="F203" s="11">
        <f>IFERROR(INDEX(rngData,MATCH($B203,rngYear,0),MATCH(OFFSET(F203,-$A203,0),rngColumnNames,0)),"")</f>
        <v>0</v>
      </c>
      <c r="G203" s="11">
        <f t="shared" si="12"/>
        <v>0</v>
      </c>
    </row>
    <row r="204">
      <c r="A204" s="9">
        <f t="shared" si="13"/>
        <v>6</v>
      </c>
      <c r="B204" s="10">
        <f>IF(INDEX(rngYear,A204+1)&lt;&gt;0,INDEX(rngYear,A204+1),"")</f>
        <v>1985</v>
      </c>
      <c r="C204" s="11">
        <f>IFERROR(INDEX(rngData,MATCH($B204,rngYear,0),MATCH(OFFSET(C204,-$A204,0),rngColumnNames,0)),"")</f>
        <v>0</v>
      </c>
      <c r="D204" s="11">
        <f>IFERROR(INDEX(rngData,MATCH($B204,rngYear,0),MATCH(OFFSET(D204,-$A204,0),rngColumnNames,0)),"")</f>
        <v>0</v>
      </c>
      <c r="E204" s="11">
        <f>IFERROR(INDEX(rngData,MATCH($B204,rngYear,0),MATCH(OFFSET(E204,-$A204,0),rngColumnNames,0)),"")</f>
        <v>0</v>
      </c>
      <c r="F204" s="11">
        <f>IFERROR(INDEX(rngData,MATCH($B204,rngYear,0),MATCH(OFFSET(F204,-$A204,0),rngColumnNames,0)),"")</f>
        <v>0</v>
      </c>
      <c r="G204" s="11">
        <f t="shared" si="12"/>
        <v>0</v>
      </c>
    </row>
    <row r="205">
      <c r="A205" s="9">
        <f t="shared" si="13"/>
        <v>7</v>
      </c>
      <c r="B205" s="10">
        <f>IF(INDEX(rngYear,A205+1)&lt;&gt;0,INDEX(rngYear,A205+1),"")</f>
        <v>1986</v>
      </c>
      <c r="C205" s="11">
        <f>IFERROR(INDEX(rngData,MATCH($B205,rngYear,0),MATCH(OFFSET(C205,-$A205,0),rngColumnNames,0)),"")</f>
        <v>0</v>
      </c>
      <c r="D205" s="11">
        <f>IFERROR(INDEX(rngData,MATCH($B205,rngYear,0),MATCH(OFFSET(D205,-$A205,0),rngColumnNames,0)),"")</f>
        <v>0</v>
      </c>
      <c r="E205" s="11">
        <f>IFERROR(INDEX(rngData,MATCH($B205,rngYear,0),MATCH(OFFSET(E205,-$A205,0),rngColumnNames,0)),"")</f>
        <v>0</v>
      </c>
      <c r="F205" s="11">
        <f>IFERROR(INDEX(rngData,MATCH($B205,rngYear,0),MATCH(OFFSET(F205,-$A205,0),rngColumnNames,0)),"")</f>
        <v>0</v>
      </c>
      <c r="G205" s="11">
        <f t="shared" si="12"/>
        <v>0</v>
      </c>
    </row>
    <row r="206">
      <c r="A206" s="9">
        <f t="shared" si="13"/>
        <v>8</v>
      </c>
      <c r="B206" s="10">
        <f>IF(INDEX(rngYear,A206+1)&lt;&gt;0,INDEX(rngYear,A206+1),"")</f>
        <v>1987</v>
      </c>
      <c r="C206" s="11">
        <f>IFERROR(INDEX(rngData,MATCH($B206,rngYear,0),MATCH(OFFSET(C206,-$A206,0),rngColumnNames,0)),"")</f>
        <v>0</v>
      </c>
      <c r="D206" s="11">
        <f>IFERROR(INDEX(rngData,MATCH($B206,rngYear,0),MATCH(OFFSET(D206,-$A206,0),rngColumnNames,0)),"")</f>
        <v>0</v>
      </c>
      <c r="E206" s="11">
        <f>IFERROR(INDEX(rngData,MATCH($B206,rngYear,0),MATCH(OFFSET(E206,-$A206,0),rngColumnNames,0)),"")</f>
        <v>0</v>
      </c>
      <c r="F206" s="11">
        <f>IFERROR(INDEX(rngData,MATCH($B206,rngYear,0),MATCH(OFFSET(F206,-$A206,0),rngColumnNames,0)),"")</f>
        <v>0</v>
      </c>
      <c r="G206" s="11">
        <f t="shared" si="12"/>
        <v>0</v>
      </c>
    </row>
    <row r="207">
      <c r="A207" s="9">
        <f t="shared" si="13"/>
        <v>9</v>
      </c>
      <c r="B207" s="10">
        <f>IF(INDEX(rngYear,A207+1)&lt;&gt;0,INDEX(rngYear,A207+1),"")</f>
        <v>1988</v>
      </c>
      <c r="C207" s="11">
        <f>IFERROR(INDEX(rngData,MATCH($B207,rngYear,0),MATCH(OFFSET(C207,-$A207,0),rngColumnNames,0)),"")</f>
        <v>0</v>
      </c>
      <c r="D207" s="11">
        <f>IFERROR(INDEX(rngData,MATCH($B207,rngYear,0),MATCH(OFFSET(D207,-$A207,0),rngColumnNames,0)),"")</f>
        <v>0</v>
      </c>
      <c r="E207" s="11">
        <f>IFERROR(INDEX(rngData,MATCH($B207,rngYear,0),MATCH(OFFSET(E207,-$A207,0),rngColumnNames,0)),"")</f>
        <v>0</v>
      </c>
      <c r="F207" s="11">
        <f>IFERROR(INDEX(rngData,MATCH($B207,rngYear,0),MATCH(OFFSET(F207,-$A207,0),rngColumnNames,0)),"")</f>
        <v>0</v>
      </c>
      <c r="G207" s="11">
        <f t="shared" si="12"/>
        <v>0</v>
      </c>
    </row>
    <row r="208">
      <c r="A208" s="9">
        <f t="shared" si="13"/>
        <v>10</v>
      </c>
      <c r="B208" s="10">
        <f>IF(INDEX(rngYear,A208+1)&lt;&gt;0,INDEX(rngYear,A208+1),"")</f>
        <v>1989</v>
      </c>
      <c r="C208" s="11">
        <f>IFERROR(INDEX(rngData,MATCH($B208,rngYear,0),MATCH(OFFSET(C208,-$A208,0),rngColumnNames,0)),"")</f>
        <v>0</v>
      </c>
      <c r="D208" s="11">
        <f>IFERROR(INDEX(rngData,MATCH($B208,rngYear,0),MATCH(OFFSET(D208,-$A208,0),rngColumnNames,0)),"")</f>
        <v>0</v>
      </c>
      <c r="E208" s="11">
        <f>IFERROR(INDEX(rngData,MATCH($B208,rngYear,0),MATCH(OFFSET(E208,-$A208,0),rngColumnNames,0)),"")</f>
        <v>0</v>
      </c>
      <c r="F208" s="11">
        <f>IFERROR(INDEX(rngData,MATCH($B208,rngYear,0),MATCH(OFFSET(F208,-$A208,0),rngColumnNames,0)),"")</f>
        <v>0</v>
      </c>
      <c r="G208" s="11">
        <f t="shared" si="12"/>
        <v>0</v>
      </c>
    </row>
    <row r="209">
      <c r="A209" s="9">
        <f t="shared" si="13"/>
        <v>11</v>
      </c>
      <c r="B209" s="10">
        <f>IF(INDEX(rngYear,A209+1)&lt;&gt;0,INDEX(rngYear,A209+1),"")</f>
        <v>1990</v>
      </c>
      <c r="C209" s="11">
        <f>IFERROR(INDEX(rngData,MATCH($B209,rngYear,0),MATCH(OFFSET(C209,-$A209,0),rngColumnNames,0)),"")</f>
        <v>0</v>
      </c>
      <c r="D209" s="11">
        <f>IFERROR(INDEX(rngData,MATCH($B209,rngYear,0),MATCH(OFFSET(D209,-$A209,0),rngColumnNames,0)),"")</f>
        <v>0</v>
      </c>
      <c r="E209" s="11">
        <f>IFERROR(INDEX(rngData,MATCH($B209,rngYear,0),MATCH(OFFSET(E209,-$A209,0),rngColumnNames,0)),"")</f>
        <v>0</v>
      </c>
      <c r="F209" s="11">
        <f>IFERROR(INDEX(rngData,MATCH($B209,rngYear,0),MATCH(OFFSET(F209,-$A209,0),rngColumnNames,0)),"")</f>
        <v>0</v>
      </c>
      <c r="G209" s="11">
        <f t="shared" si="12"/>
        <v>0</v>
      </c>
    </row>
    <row r="210">
      <c r="A210" s="9">
        <f t="shared" si="13"/>
        <v>12</v>
      </c>
      <c r="B210" s="10">
        <f>IF(INDEX(rngYear,A210+1)&lt;&gt;0,INDEX(rngYear,A210+1),"")</f>
        <v>1991</v>
      </c>
      <c r="C210" s="11">
        <f>IFERROR(INDEX(rngData,MATCH($B210,rngYear,0),MATCH(OFFSET(C210,-$A210,0),rngColumnNames,0)),"")</f>
        <v>0</v>
      </c>
      <c r="D210" s="11">
        <f>IFERROR(INDEX(rngData,MATCH($B210,rngYear,0),MATCH(OFFSET(D210,-$A210,0),rngColumnNames,0)),"")</f>
        <v>0</v>
      </c>
      <c r="E210" s="11">
        <f>IFERROR(INDEX(rngData,MATCH($B210,rngYear,0),MATCH(OFFSET(E210,-$A210,0),rngColumnNames,0)),"")</f>
        <v>0</v>
      </c>
      <c r="F210" s="11">
        <f>IFERROR(INDEX(rngData,MATCH($B210,rngYear,0),MATCH(OFFSET(F210,-$A210,0),rngColumnNames,0)),"")</f>
        <v>0</v>
      </c>
      <c r="G210" s="11">
        <f t="shared" si="12"/>
        <v>0</v>
      </c>
    </row>
    <row r="211">
      <c r="A211" s="9">
        <f t="shared" si="13"/>
        <v>13</v>
      </c>
      <c r="B211" s="10">
        <f>IF(INDEX(rngYear,A211+1)&lt;&gt;0,INDEX(rngYear,A211+1),"")</f>
        <v>1992</v>
      </c>
      <c r="C211" s="11">
        <f>IFERROR(INDEX(rngData,MATCH($B211,rngYear,0),MATCH(OFFSET(C211,-$A211,0),rngColumnNames,0)),"")</f>
        <v>0</v>
      </c>
      <c r="D211" s="11">
        <f>IFERROR(INDEX(rngData,MATCH($B211,rngYear,0),MATCH(OFFSET(D211,-$A211,0),rngColumnNames,0)),"")</f>
        <v>0</v>
      </c>
      <c r="E211" s="11">
        <f>IFERROR(INDEX(rngData,MATCH($B211,rngYear,0),MATCH(OFFSET(E211,-$A211,0),rngColumnNames,0)),"")</f>
        <v>0</v>
      </c>
      <c r="F211" s="11">
        <f>IFERROR(INDEX(rngData,MATCH($B211,rngYear,0),MATCH(OFFSET(F211,-$A211,0),rngColumnNames,0)),"")</f>
        <v>0</v>
      </c>
      <c r="G211" s="11">
        <f t="shared" si="12"/>
        <v>0</v>
      </c>
    </row>
    <row r="212">
      <c r="A212" s="9">
        <f t="shared" si="13"/>
        <v>14</v>
      </c>
      <c r="B212" s="10">
        <f>IF(INDEX(rngYear,A212+1)&lt;&gt;0,INDEX(rngYear,A212+1),"")</f>
        <v>1993</v>
      </c>
      <c r="C212" s="11">
        <f>IFERROR(INDEX(rngData,MATCH($B212,rngYear,0),MATCH(OFFSET(C212,-$A212,0),rngColumnNames,0)),"")</f>
        <v>0</v>
      </c>
      <c r="D212" s="11">
        <f>IFERROR(INDEX(rngData,MATCH($B212,rngYear,0),MATCH(OFFSET(D212,-$A212,0),rngColumnNames,0)),"")</f>
        <v>0</v>
      </c>
      <c r="E212" s="11">
        <f>IFERROR(INDEX(rngData,MATCH($B212,rngYear,0),MATCH(OFFSET(E212,-$A212,0),rngColumnNames,0)),"")</f>
        <v>0</v>
      </c>
      <c r="F212" s="11">
        <f>IFERROR(INDEX(rngData,MATCH($B212,rngYear,0),MATCH(OFFSET(F212,-$A212,0),rngColumnNames,0)),"")</f>
        <v>0</v>
      </c>
      <c r="G212" s="11">
        <f t="shared" si="12"/>
        <v>0</v>
      </c>
    </row>
    <row r="213">
      <c r="A213" s="9">
        <f t="shared" si="13"/>
        <v>15</v>
      </c>
      <c r="B213" s="10">
        <f>IF(INDEX(rngYear,A213+1)&lt;&gt;0,INDEX(rngYear,A213+1),"")</f>
        <v>1994</v>
      </c>
      <c r="C213" s="11">
        <f>IFERROR(INDEX(rngData,MATCH($B213,rngYear,0),MATCH(OFFSET(C213,-$A213,0),rngColumnNames,0)),"")</f>
        <v>0</v>
      </c>
      <c r="D213" s="11">
        <f>IFERROR(INDEX(rngData,MATCH($B213,rngYear,0),MATCH(OFFSET(D213,-$A213,0),rngColumnNames,0)),"")</f>
        <v>0</v>
      </c>
      <c r="E213" s="11">
        <f>IFERROR(INDEX(rngData,MATCH($B213,rngYear,0),MATCH(OFFSET(E213,-$A213,0),rngColumnNames,0)),"")</f>
        <v>0</v>
      </c>
      <c r="F213" s="11">
        <f>IFERROR(INDEX(rngData,MATCH($B213,rngYear,0),MATCH(OFFSET(F213,-$A213,0),rngColumnNames,0)),"")</f>
        <v>0</v>
      </c>
      <c r="G213" s="11">
        <f t="shared" si="12"/>
        <v>0</v>
      </c>
    </row>
    <row r="214">
      <c r="A214" s="9">
        <f t="shared" si="13"/>
        <v>16</v>
      </c>
      <c r="B214" s="10">
        <f>IF(INDEX(rngYear,A214+1)&lt;&gt;0,INDEX(rngYear,A214+1),"")</f>
        <v>1995</v>
      </c>
      <c r="C214" s="11">
        <f>IFERROR(INDEX(rngData,MATCH($B214,rngYear,0),MATCH(OFFSET(C214,-$A214,0),rngColumnNames,0)),"")</f>
        <v>0</v>
      </c>
      <c r="D214" s="11">
        <f>IFERROR(INDEX(rngData,MATCH($B214,rngYear,0),MATCH(OFFSET(D214,-$A214,0),rngColumnNames,0)),"")</f>
        <v>0</v>
      </c>
      <c r="E214" s="11">
        <f>IFERROR(INDEX(rngData,MATCH($B214,rngYear,0),MATCH(OFFSET(E214,-$A214,0),rngColumnNames,0)),"")</f>
        <v>0</v>
      </c>
      <c r="F214" s="11">
        <f>IFERROR(INDEX(rngData,MATCH($B214,rngYear,0),MATCH(OFFSET(F214,-$A214,0),rngColumnNames,0)),"")</f>
        <v>0</v>
      </c>
      <c r="G214" s="11">
        <f t="shared" si="12"/>
        <v>0</v>
      </c>
    </row>
    <row r="215">
      <c r="A215" s="9">
        <f t="shared" si="13"/>
        <v>17</v>
      </c>
      <c r="B215" s="10">
        <f>IF(INDEX(rngYear,A215+1)&lt;&gt;0,INDEX(rngYear,A215+1),"")</f>
        <v>1996</v>
      </c>
      <c r="C215" s="11">
        <f>IFERROR(INDEX(rngData,MATCH($B215,rngYear,0),MATCH(OFFSET(C215,-$A215,0),rngColumnNames,0)),"")</f>
        <v>0</v>
      </c>
      <c r="D215" s="11">
        <f>IFERROR(INDEX(rngData,MATCH($B215,rngYear,0),MATCH(OFFSET(D215,-$A215,0),rngColumnNames,0)),"")</f>
        <v>0</v>
      </c>
      <c r="E215" s="11">
        <f>IFERROR(INDEX(rngData,MATCH($B215,rngYear,0),MATCH(OFFSET(E215,-$A215,0),rngColumnNames,0)),"")</f>
        <v>0</v>
      </c>
      <c r="F215" s="11">
        <f>IFERROR(INDEX(rngData,MATCH($B215,rngYear,0),MATCH(OFFSET(F215,-$A215,0),rngColumnNames,0)),"")</f>
        <v>0</v>
      </c>
      <c r="G215" s="11">
        <f t="shared" si="12"/>
        <v>0</v>
      </c>
    </row>
    <row r="216">
      <c r="A216" s="9">
        <f t="shared" si="13"/>
        <v>18</v>
      </c>
      <c r="B216" s="10">
        <f>IF(INDEX(rngYear,A216+1)&lt;&gt;0,INDEX(rngYear,A216+1),"")</f>
        <v>1997</v>
      </c>
      <c r="C216" s="11">
        <f>IFERROR(INDEX(rngData,MATCH($B216,rngYear,0),MATCH(OFFSET(C216,-$A216,0),rngColumnNames,0)),"")</f>
        <v>0</v>
      </c>
      <c r="D216" s="11">
        <f>IFERROR(INDEX(rngData,MATCH($B216,rngYear,0),MATCH(OFFSET(D216,-$A216,0),rngColumnNames,0)),"")</f>
        <v>0</v>
      </c>
      <c r="E216" s="11">
        <f>IFERROR(INDEX(rngData,MATCH($B216,rngYear,0),MATCH(OFFSET(E216,-$A216,0),rngColumnNames,0)),"")</f>
        <v>0</v>
      </c>
      <c r="F216" s="11">
        <f>IFERROR(INDEX(rngData,MATCH($B216,rngYear,0),MATCH(OFFSET(F216,-$A216,0),rngColumnNames,0)),"")</f>
        <v>0</v>
      </c>
      <c r="G216" s="11">
        <f t="shared" si="12"/>
        <v>0</v>
      </c>
    </row>
    <row r="217">
      <c r="A217" s="9">
        <f t="shared" si="13"/>
        <v>19</v>
      </c>
      <c r="B217" s="10">
        <f>IF(INDEX(rngYear,A217+1)&lt;&gt;0,INDEX(rngYear,A217+1),"")</f>
        <v>1998</v>
      </c>
      <c r="C217" s="11">
        <f>IFERROR(INDEX(rngData,MATCH($B217,rngYear,0),MATCH(OFFSET(C217,-$A217,0),rngColumnNames,0)),"")</f>
        <v>0</v>
      </c>
      <c r="D217" s="11">
        <f>IFERROR(INDEX(rngData,MATCH($B217,rngYear,0),MATCH(OFFSET(D217,-$A217,0),rngColumnNames,0)),"")</f>
        <v>0</v>
      </c>
      <c r="E217" s="11">
        <f>IFERROR(INDEX(rngData,MATCH($B217,rngYear,0),MATCH(OFFSET(E217,-$A217,0),rngColumnNames,0)),"")</f>
        <v>0</v>
      </c>
      <c r="F217" s="11">
        <f>IFERROR(INDEX(rngData,MATCH($B217,rngYear,0),MATCH(OFFSET(F217,-$A217,0),rngColumnNames,0)),"")</f>
        <v>0</v>
      </c>
      <c r="G217" s="11">
        <f t="shared" si="12"/>
        <v>0</v>
      </c>
    </row>
    <row r="218">
      <c r="A218" s="9">
        <f t="shared" si="13"/>
        <v>20</v>
      </c>
      <c r="B218" s="10">
        <f>IF(INDEX(rngYear,A218+1)&lt;&gt;0,INDEX(rngYear,A218+1),"")</f>
        <v>1999</v>
      </c>
      <c r="C218" s="11">
        <f>IFERROR(INDEX(rngData,MATCH($B218,rngYear,0),MATCH(OFFSET(C218,-$A218,0),rngColumnNames,0)),"")</f>
        <v>0</v>
      </c>
      <c r="D218" s="11">
        <f>IFERROR(INDEX(rngData,MATCH($B218,rngYear,0),MATCH(OFFSET(D218,-$A218,0),rngColumnNames,0)),"")</f>
        <v>0</v>
      </c>
      <c r="E218" s="11">
        <f>IFERROR(INDEX(rngData,MATCH($B218,rngYear,0),MATCH(OFFSET(E218,-$A218,0),rngColumnNames,0)),"")</f>
        <v>0</v>
      </c>
      <c r="F218" s="11">
        <f>IFERROR(INDEX(rngData,MATCH($B218,rngYear,0),MATCH(OFFSET(F218,-$A218,0),rngColumnNames,0)),"")</f>
        <v>0</v>
      </c>
      <c r="G218" s="11">
        <f t="shared" si="12"/>
        <v>0</v>
      </c>
    </row>
    <row r="219">
      <c r="A219" s="9">
        <f t="shared" si="13"/>
        <v>21</v>
      </c>
      <c r="B219" s="10">
        <f>IF(INDEX(rngYear,A219+1)&lt;&gt;0,INDEX(rngYear,A219+1),"")</f>
        <v>2000</v>
      </c>
      <c r="C219" s="11">
        <f>IFERROR(INDEX(rngData,MATCH($B219,rngYear,0),MATCH(OFFSET(C219,-$A219,0),rngColumnNames,0)),"")</f>
        <v>0</v>
      </c>
      <c r="D219" s="11">
        <f>IFERROR(INDEX(rngData,MATCH($B219,rngYear,0),MATCH(OFFSET(D219,-$A219,0),rngColumnNames,0)),"")</f>
        <v>0</v>
      </c>
      <c r="E219" s="11">
        <f>IFERROR(INDEX(rngData,MATCH($B219,rngYear,0),MATCH(OFFSET(E219,-$A219,0),rngColumnNames,0)),"")</f>
        <v>0</v>
      </c>
      <c r="F219" s="11">
        <f>IFERROR(INDEX(rngData,MATCH($B219,rngYear,0),MATCH(OFFSET(F219,-$A219,0),rngColumnNames,0)),"")</f>
        <v>0</v>
      </c>
      <c r="G219" s="11">
        <f t="shared" si="12"/>
        <v>0</v>
      </c>
    </row>
    <row r="220">
      <c r="A220" s="9">
        <f t="shared" si="13"/>
        <v>22</v>
      </c>
      <c r="B220" s="10">
        <f>IF(INDEX(rngYear,A220+1)&lt;&gt;0,INDEX(rngYear,A220+1),"")</f>
        <v>2001</v>
      </c>
      <c r="C220" s="11">
        <f>IFERROR(INDEX(rngData,MATCH($B220,rngYear,0),MATCH(OFFSET(C220,-$A220,0),rngColumnNames,0)),"")</f>
        <v>0</v>
      </c>
      <c r="D220" s="11">
        <f>IFERROR(INDEX(rngData,MATCH($B220,rngYear,0),MATCH(OFFSET(D220,-$A220,0),rngColumnNames,0)),"")</f>
        <v>0</v>
      </c>
      <c r="E220" s="11">
        <f>IFERROR(INDEX(rngData,MATCH($B220,rngYear,0),MATCH(OFFSET(E220,-$A220,0),rngColumnNames,0)),"")</f>
        <v>0</v>
      </c>
      <c r="F220" s="11">
        <f>IFERROR(INDEX(rngData,MATCH($B220,rngYear,0),MATCH(OFFSET(F220,-$A220,0),rngColumnNames,0)),"")</f>
        <v>0</v>
      </c>
      <c r="G220" s="11">
        <f t="shared" si="12"/>
        <v>0</v>
      </c>
    </row>
    <row r="221">
      <c r="A221" s="9">
        <f t="shared" si="13"/>
        <v>23</v>
      </c>
      <c r="B221" s="10">
        <f>IF(INDEX(rngYear,A221+1)&lt;&gt;0,INDEX(rngYear,A221+1),"")</f>
        <v>2002</v>
      </c>
      <c r="C221" s="11">
        <f>IFERROR(INDEX(rngData,MATCH($B221,rngYear,0),MATCH(OFFSET(C221,-$A221,0),rngColumnNames,0)),"")</f>
        <v>0</v>
      </c>
      <c r="D221" s="11">
        <f>IFERROR(INDEX(rngData,MATCH($B221,rngYear,0),MATCH(OFFSET(D221,-$A221,0),rngColumnNames,0)),"")</f>
        <v>0</v>
      </c>
      <c r="E221" s="11">
        <f>IFERROR(INDEX(rngData,MATCH($B221,rngYear,0),MATCH(OFFSET(E221,-$A221,0),rngColumnNames,0)),"")</f>
        <v>0</v>
      </c>
      <c r="F221" s="11">
        <f>IFERROR(INDEX(rngData,MATCH($B221,rngYear,0),MATCH(OFFSET(F221,-$A221,0),rngColumnNames,0)),"")</f>
        <v>0</v>
      </c>
      <c r="G221" s="11">
        <f t="shared" si="12"/>
        <v>0</v>
      </c>
    </row>
    <row r="222">
      <c r="A222" s="9">
        <f t="shared" si="13"/>
        <v>24</v>
      </c>
      <c r="B222" s="10">
        <f>IF(INDEX(rngYear,A222+1)&lt;&gt;0,INDEX(rngYear,A222+1),"")</f>
        <v>2003</v>
      </c>
      <c r="C222" s="11">
        <f>IFERROR(INDEX(rngData,MATCH($B222,rngYear,0),MATCH(OFFSET(C222,-$A222,0),rngColumnNames,0)),"")</f>
        <v>0</v>
      </c>
      <c r="D222" s="11">
        <f>IFERROR(INDEX(rngData,MATCH($B222,rngYear,0),MATCH(OFFSET(D222,-$A222,0),rngColumnNames,0)),"")</f>
        <v>0</v>
      </c>
      <c r="E222" s="11">
        <f>IFERROR(INDEX(rngData,MATCH($B222,rngYear,0),MATCH(OFFSET(E222,-$A222,0),rngColumnNames,0)),"")</f>
        <v>0</v>
      </c>
      <c r="F222" s="11">
        <f>IFERROR(INDEX(rngData,MATCH($B222,rngYear,0),MATCH(OFFSET(F222,-$A222,0),rngColumnNames,0)),"")</f>
        <v>0</v>
      </c>
      <c r="G222" s="11">
        <f t="shared" si="12"/>
        <v>0</v>
      </c>
    </row>
    <row r="223">
      <c r="A223" s="9">
        <f t="shared" si="13"/>
        <v>25</v>
      </c>
      <c r="B223" s="10">
        <f>IF(INDEX(rngYear,A223+1)&lt;&gt;0,INDEX(rngYear,A223+1),"")</f>
        <v>2004</v>
      </c>
      <c r="C223" s="11">
        <f>IFERROR(INDEX(rngData,MATCH($B223,rngYear,0),MATCH(OFFSET(C223,-$A223,0),rngColumnNames,0)),"")</f>
        <v>0</v>
      </c>
      <c r="D223" s="11">
        <f>IFERROR(INDEX(rngData,MATCH($B223,rngYear,0),MATCH(OFFSET(D223,-$A223,0),rngColumnNames,0)),"")</f>
        <v>0</v>
      </c>
      <c r="E223" s="11">
        <f>IFERROR(INDEX(rngData,MATCH($B223,rngYear,0),MATCH(OFFSET(E223,-$A223,0),rngColumnNames,0)),"")</f>
        <v>0</v>
      </c>
      <c r="F223" s="11">
        <f>IFERROR(INDEX(rngData,MATCH($B223,rngYear,0),MATCH(OFFSET(F223,-$A223,0),rngColumnNames,0)),"")</f>
        <v>0</v>
      </c>
      <c r="G223" s="11">
        <f t="shared" si="12"/>
        <v>0</v>
      </c>
    </row>
    <row r="224">
      <c r="A224" s="9">
        <f t="shared" si="13"/>
        <v>26</v>
      </c>
      <c r="B224" s="10">
        <f>IF(INDEX(rngYear,A224+1)&lt;&gt;0,INDEX(rngYear,A224+1),"")</f>
        <v>2005</v>
      </c>
      <c r="C224" s="11">
        <f>IFERROR(INDEX(rngData,MATCH($B224,rngYear,0),MATCH(OFFSET(C224,-$A224,0),rngColumnNames,0)),"")</f>
        <v>0</v>
      </c>
      <c r="D224" s="11">
        <f>IFERROR(INDEX(rngData,MATCH($B224,rngYear,0),MATCH(OFFSET(D224,-$A224,0),rngColumnNames,0)),"")</f>
        <v>0</v>
      </c>
      <c r="E224" s="11">
        <f>IFERROR(INDEX(rngData,MATCH($B224,rngYear,0),MATCH(OFFSET(E224,-$A224,0),rngColumnNames,0)),"")</f>
        <v>0</v>
      </c>
      <c r="F224" s="11">
        <f>IFERROR(INDEX(rngData,MATCH($B224,rngYear,0),MATCH(OFFSET(F224,-$A224,0),rngColumnNames,0)),"")</f>
        <v>0</v>
      </c>
      <c r="G224" s="11">
        <f t="shared" si="12"/>
        <v>0</v>
      </c>
    </row>
    <row r="225">
      <c r="A225" s="9">
        <f t="shared" si="13"/>
        <v>27</v>
      </c>
      <c r="B225" s="10">
        <f>IF(INDEX(rngYear,A225+1)&lt;&gt;0,INDEX(rngYear,A225+1),"")</f>
        <v>2006</v>
      </c>
      <c r="C225" s="11">
        <f>IFERROR(INDEX(rngData,MATCH($B225,rngYear,0),MATCH(OFFSET(C225,-$A225,0),rngColumnNames,0)),"")</f>
        <v>0</v>
      </c>
      <c r="D225" s="11">
        <f>IFERROR(INDEX(rngData,MATCH($B225,rngYear,0),MATCH(OFFSET(D225,-$A225,0),rngColumnNames,0)),"")</f>
        <v>0</v>
      </c>
      <c r="E225" s="11">
        <f>IFERROR(INDEX(rngData,MATCH($B225,rngYear,0),MATCH(OFFSET(E225,-$A225,0),rngColumnNames,0)),"")</f>
        <v>0</v>
      </c>
      <c r="F225" s="11">
        <f>IFERROR(INDEX(rngData,MATCH($B225,rngYear,0),MATCH(OFFSET(F225,-$A225,0),rngColumnNames,0)),"")</f>
        <v>0</v>
      </c>
      <c r="G225" s="11">
        <f t="shared" si="12"/>
        <v>0</v>
      </c>
    </row>
    <row r="226">
      <c r="A226" s="9">
        <f t="shared" si="13"/>
        <v>28</v>
      </c>
      <c r="B226" s="10">
        <f>IF(INDEX(rngYear,A226+1)&lt;&gt;0,INDEX(rngYear,A226+1),"")</f>
        <v>2007</v>
      </c>
      <c r="C226" s="11">
        <f>IFERROR(INDEX(rngData,MATCH($B226,rngYear,0),MATCH(OFFSET(C226,-$A226,0),rngColumnNames,0)),"")</f>
        <v>0</v>
      </c>
      <c r="D226" s="11">
        <f>IFERROR(INDEX(rngData,MATCH($B226,rngYear,0),MATCH(OFFSET(D226,-$A226,0),rngColumnNames,0)),"")</f>
        <v>0</v>
      </c>
      <c r="E226" s="11">
        <f>IFERROR(INDEX(rngData,MATCH($B226,rngYear,0),MATCH(OFFSET(E226,-$A226,0),rngColumnNames,0)),"")</f>
        <v>0</v>
      </c>
      <c r="F226" s="11">
        <f>IFERROR(INDEX(rngData,MATCH($B226,rngYear,0),MATCH(OFFSET(F226,-$A226,0),rngColumnNames,0)),"")</f>
        <v>0</v>
      </c>
      <c r="G226" s="11">
        <f t="shared" si="12"/>
        <v>0</v>
      </c>
    </row>
    <row r="227">
      <c r="A227" s="9">
        <f t="shared" si="13"/>
        <v>29</v>
      </c>
      <c r="B227" s="10">
        <f>IF(INDEX(rngYear,A227+1)&lt;&gt;0,INDEX(rngYear,A227+1),"")</f>
        <v>2008</v>
      </c>
      <c r="C227" s="11">
        <f>IFERROR(INDEX(rngData,MATCH($B227,rngYear,0),MATCH(OFFSET(C227,-$A227,0),rngColumnNames,0)),"")</f>
        <v>0</v>
      </c>
      <c r="D227" s="11">
        <f>IFERROR(INDEX(rngData,MATCH($B227,rngYear,0),MATCH(OFFSET(D227,-$A227,0),rngColumnNames,0)),"")</f>
        <v>0</v>
      </c>
      <c r="E227" s="11">
        <f>IFERROR(INDEX(rngData,MATCH($B227,rngYear,0),MATCH(OFFSET(E227,-$A227,0),rngColumnNames,0)),"")</f>
        <v>0</v>
      </c>
      <c r="F227" s="11">
        <f>IFERROR(INDEX(rngData,MATCH($B227,rngYear,0),MATCH(OFFSET(F227,-$A227,0),rngColumnNames,0)),"")</f>
        <v>0</v>
      </c>
      <c r="G227" s="11">
        <f t="shared" si="12"/>
        <v>0</v>
      </c>
    </row>
    <row r="228">
      <c r="A228" s="9">
        <f t="shared" si="13"/>
        <v>30</v>
      </c>
      <c r="B228" s="10">
        <f>IF(INDEX(rngYear,A228+1)&lt;&gt;0,INDEX(rngYear,A228+1),"")</f>
        <v>2009</v>
      </c>
      <c r="C228" s="11">
        <f>IFERROR(INDEX(rngData,MATCH($B228,rngYear,0),MATCH(OFFSET(C228,-$A228,0),rngColumnNames,0)),"")</f>
        <v>0</v>
      </c>
      <c r="D228" s="11">
        <f>IFERROR(INDEX(rngData,MATCH($B228,rngYear,0),MATCH(OFFSET(D228,-$A228,0),rngColumnNames,0)),"")</f>
        <v>0</v>
      </c>
      <c r="E228" s="11">
        <f>IFERROR(INDEX(rngData,MATCH($B228,rngYear,0),MATCH(OFFSET(E228,-$A228,0),rngColumnNames,0)),"")</f>
        <v>0</v>
      </c>
      <c r="F228" s="11">
        <f>IFERROR(INDEX(rngData,MATCH($B228,rngYear,0),MATCH(OFFSET(F228,-$A228,0),rngColumnNames,0)),"")</f>
        <v>0</v>
      </c>
      <c r="G228" s="11">
        <f t="shared" si="12"/>
        <v>0</v>
      </c>
    </row>
    <row r="229">
      <c r="A229" s="9">
        <f t="shared" si="13"/>
        <v>31</v>
      </c>
      <c r="B229" s="10">
        <f>IF(INDEX(rngYear,A229+1)&lt;&gt;0,INDEX(rngYear,A229+1),"")</f>
        <v>2010</v>
      </c>
      <c r="C229" s="11">
        <f>IFERROR(INDEX(rngData,MATCH($B229,rngYear,0),MATCH(OFFSET(C229,-$A229,0),rngColumnNames,0)),"")</f>
        <v>0</v>
      </c>
      <c r="D229" s="11">
        <f>IFERROR(INDEX(rngData,MATCH($B229,rngYear,0),MATCH(OFFSET(D229,-$A229,0),rngColumnNames,0)),"")</f>
        <v>0</v>
      </c>
      <c r="E229" s="11">
        <f>IFERROR(INDEX(rngData,MATCH($B229,rngYear,0),MATCH(OFFSET(E229,-$A229,0),rngColumnNames,0)),"")</f>
        <v>0</v>
      </c>
      <c r="F229" s="11">
        <f>IFERROR(INDEX(rngData,MATCH($B229,rngYear,0),MATCH(OFFSET(F229,-$A229,0),rngColumnNames,0)),"")</f>
        <v>0</v>
      </c>
      <c r="G229" s="11">
        <f t="shared" si="12"/>
        <v>0</v>
      </c>
    </row>
    <row r="230">
      <c r="A230" s="9">
        <f t="shared" si="13"/>
        <v>32</v>
      </c>
      <c r="B230" s="10">
        <f>IF(INDEX(rngYear,A230+1)&lt;&gt;0,INDEX(rngYear,A230+1),"")</f>
        <v>2011</v>
      </c>
      <c r="C230" s="11">
        <f>IFERROR(INDEX(rngData,MATCH($B230,rngYear,0),MATCH(OFFSET(C230,-$A230,0),rngColumnNames,0)),"")</f>
        <v>0</v>
      </c>
      <c r="D230" s="11">
        <f>IFERROR(INDEX(rngData,MATCH($B230,rngYear,0),MATCH(OFFSET(D230,-$A230,0),rngColumnNames,0)),"")</f>
        <v>0</v>
      </c>
      <c r="E230" s="11">
        <f>IFERROR(INDEX(rngData,MATCH($B230,rngYear,0),MATCH(OFFSET(E230,-$A230,0),rngColumnNames,0)),"")</f>
        <v>0</v>
      </c>
      <c r="F230" s="11">
        <f>IFERROR(INDEX(rngData,MATCH($B230,rngYear,0),MATCH(OFFSET(F230,-$A230,0),rngColumnNames,0)),"")</f>
        <v>0</v>
      </c>
      <c r="G230" s="11">
        <f t="shared" si="12"/>
        <v>0</v>
      </c>
    </row>
    <row r="231">
      <c r="A231" s="9">
        <f t="shared" si="13"/>
        <v>33</v>
      </c>
      <c r="B231" s="10">
        <f>IF(INDEX(rngYear,A231+1)&lt;&gt;0,INDEX(rngYear,A231+1),"")</f>
        <v>2012</v>
      </c>
      <c r="C231" s="11">
        <f>IFERROR(INDEX(rngData,MATCH($B231,rngYear,0),MATCH(OFFSET(C231,-$A231,0),rngColumnNames,0)),"")</f>
        <v>0</v>
      </c>
      <c r="D231" s="11">
        <f>IFERROR(INDEX(rngData,MATCH($B231,rngYear,0),MATCH(OFFSET(D231,-$A231,0),rngColumnNames,0)),"")</f>
        <v>0</v>
      </c>
      <c r="E231" s="11">
        <f>IFERROR(INDEX(rngData,MATCH($B231,rngYear,0),MATCH(OFFSET(E231,-$A231,0),rngColumnNames,0)),"")</f>
        <v>0</v>
      </c>
      <c r="F231" s="11">
        <f>IFERROR(INDEX(rngData,MATCH($B231,rngYear,0),MATCH(OFFSET(F231,-$A231,0),rngColumnNames,0)),"")</f>
        <v>0</v>
      </c>
      <c r="G231" s="11">
        <f ref="G231:G258" t="shared" si="14">IFERROR(F231-E231,"")</f>
        <v>0</v>
      </c>
    </row>
    <row r="232" hidden="1">
      <c r="A232" s="9">
        <f ref="A232:A258" t="shared" si="15">A231+1</f>
        <v>34</v>
      </c>
      <c r="B232" s="10">
        <f>IF(INDEX(rngYear,A232+1)&lt;&gt;0,INDEX(rngYear,A232+1),"")</f>
      </c>
      <c r="C232" s="11">
        <f>IFERROR(INDEX(rngData,MATCH($B232,rngYear,0),MATCH(OFFSET(C232,-$A232,0),rngColumnNames,0)),"")</f>
      </c>
      <c r="D232" s="11">
        <f>IFERROR(INDEX(rngData,MATCH($B232,rngYear,0),MATCH(OFFSET(D232,-$A232,0),rngColumnNames,0)),"")</f>
      </c>
      <c r="E232" s="11">
        <f>IFERROR(INDEX(rngData,MATCH($B232,rngYear,0),MATCH(OFFSET(E232,-$A232,0),rngColumnNames,0)),"")</f>
      </c>
      <c r="F232" s="11">
        <f>IFERROR(INDEX(rngData,MATCH($B232,rngYear,0),MATCH(OFFSET(F232,-$A232,0),rngColumnNames,0)),"")</f>
      </c>
      <c r="G232" s="11">
        <f t="shared" si="14"/>
      </c>
    </row>
    <row r="233" hidden="1">
      <c r="A233" s="9">
        <f t="shared" si="15"/>
        <v>35</v>
      </c>
      <c r="B233" s="10">
        <f>IF(INDEX(rngYear,A233+1)&lt;&gt;0,INDEX(rngYear,A233+1),"")</f>
      </c>
      <c r="C233" s="11">
        <f>IFERROR(INDEX(rngData,MATCH($B233,rngYear,0),MATCH(OFFSET(C233,-$A233,0),rngColumnNames,0)),"")</f>
      </c>
      <c r="D233" s="11">
        <f>IFERROR(INDEX(rngData,MATCH($B233,rngYear,0),MATCH(OFFSET(D233,-$A233,0),rngColumnNames,0)),"")</f>
      </c>
      <c r="E233" s="11">
        <f>IFERROR(INDEX(rngData,MATCH($B233,rngYear,0),MATCH(OFFSET(E233,-$A233,0),rngColumnNames,0)),"")</f>
      </c>
      <c r="F233" s="11">
        <f>IFERROR(INDEX(rngData,MATCH($B233,rngYear,0),MATCH(OFFSET(F233,-$A233,0),rngColumnNames,0)),"")</f>
      </c>
      <c r="G233" s="11">
        <f t="shared" si="14"/>
      </c>
    </row>
    <row r="234" hidden="1">
      <c r="A234" s="9">
        <f t="shared" si="15"/>
        <v>36</v>
      </c>
      <c r="B234" s="10">
        <f>IF(INDEX(rngYear,A234+1)&lt;&gt;0,INDEX(rngYear,A234+1),"")</f>
      </c>
      <c r="C234" s="11">
        <f>IFERROR(INDEX(rngData,MATCH($B234,rngYear,0),MATCH(OFFSET(C234,-$A234,0),rngColumnNames,0)),"")</f>
      </c>
      <c r="D234" s="11">
        <f>IFERROR(INDEX(rngData,MATCH($B234,rngYear,0),MATCH(OFFSET(D234,-$A234,0),rngColumnNames,0)),"")</f>
      </c>
      <c r="E234" s="11">
        <f>IFERROR(INDEX(rngData,MATCH($B234,rngYear,0),MATCH(OFFSET(E234,-$A234,0),rngColumnNames,0)),"")</f>
      </c>
      <c r="F234" s="11">
        <f>IFERROR(INDEX(rngData,MATCH($B234,rngYear,0),MATCH(OFFSET(F234,-$A234,0),rngColumnNames,0)),"")</f>
      </c>
      <c r="G234" s="11">
        <f t="shared" si="14"/>
      </c>
    </row>
    <row r="235" hidden="1">
      <c r="A235" s="9">
        <f t="shared" si="15"/>
        <v>37</v>
      </c>
      <c r="B235" s="10">
        <f>IF(INDEX(rngYear,A235+1)&lt;&gt;0,INDEX(rngYear,A235+1),"")</f>
      </c>
      <c r="C235" s="11">
        <f>IFERROR(INDEX(rngData,MATCH($B235,rngYear,0),MATCH(OFFSET(C235,-$A235,0),rngColumnNames,0)),"")</f>
      </c>
      <c r="D235" s="11">
        <f>IFERROR(INDEX(rngData,MATCH($B235,rngYear,0),MATCH(OFFSET(D235,-$A235,0),rngColumnNames,0)),"")</f>
      </c>
      <c r="E235" s="11">
        <f>IFERROR(INDEX(rngData,MATCH($B235,rngYear,0),MATCH(OFFSET(E235,-$A235,0),rngColumnNames,0)),"")</f>
      </c>
      <c r="F235" s="11">
        <f>IFERROR(INDEX(rngData,MATCH($B235,rngYear,0),MATCH(OFFSET(F235,-$A235,0),rngColumnNames,0)),"")</f>
      </c>
      <c r="G235" s="11">
        <f t="shared" si="14"/>
      </c>
    </row>
    <row r="236" hidden="1">
      <c r="A236" s="9">
        <f t="shared" si="15"/>
        <v>38</v>
      </c>
      <c r="B236" s="10">
        <f>IF(INDEX(rngYear,A236+1)&lt;&gt;0,INDEX(rngYear,A236+1),"")</f>
      </c>
      <c r="C236" s="11">
        <f>IFERROR(INDEX(rngData,MATCH($B236,rngYear,0),MATCH(OFFSET(C236,-$A236,0),rngColumnNames,0)),"")</f>
      </c>
      <c r="D236" s="11">
        <f>IFERROR(INDEX(rngData,MATCH($B236,rngYear,0),MATCH(OFFSET(D236,-$A236,0),rngColumnNames,0)),"")</f>
      </c>
      <c r="E236" s="11">
        <f>IFERROR(INDEX(rngData,MATCH($B236,rngYear,0),MATCH(OFFSET(E236,-$A236,0),rngColumnNames,0)),"")</f>
      </c>
      <c r="F236" s="11">
        <f>IFERROR(INDEX(rngData,MATCH($B236,rngYear,0),MATCH(OFFSET(F236,-$A236,0),rngColumnNames,0)),"")</f>
      </c>
      <c r="G236" s="11">
        <f t="shared" si="14"/>
      </c>
    </row>
    <row r="237" hidden="1">
      <c r="A237" s="9">
        <f t="shared" si="15"/>
        <v>39</v>
      </c>
      <c r="B237" s="10">
        <f>IF(INDEX(rngYear,A237+1)&lt;&gt;0,INDEX(rngYear,A237+1),"")</f>
      </c>
      <c r="C237" s="11">
        <f>IFERROR(INDEX(rngData,MATCH($B237,rngYear,0),MATCH(OFFSET(C237,-$A237,0),rngColumnNames,0)),"")</f>
      </c>
      <c r="D237" s="11">
        <f>IFERROR(INDEX(rngData,MATCH($B237,rngYear,0),MATCH(OFFSET(D237,-$A237,0),rngColumnNames,0)),"")</f>
      </c>
      <c r="E237" s="11">
        <f>IFERROR(INDEX(rngData,MATCH($B237,rngYear,0),MATCH(OFFSET(E237,-$A237,0),rngColumnNames,0)),"")</f>
      </c>
      <c r="F237" s="11">
        <f>IFERROR(INDEX(rngData,MATCH($B237,rngYear,0),MATCH(OFFSET(F237,-$A237,0),rngColumnNames,0)),"")</f>
      </c>
      <c r="G237" s="11">
        <f t="shared" si="14"/>
      </c>
    </row>
    <row r="238" hidden="1">
      <c r="A238" s="9">
        <f t="shared" si="15"/>
        <v>40</v>
      </c>
      <c r="B238" s="10">
        <f>IF(INDEX(rngYear,A238+1)&lt;&gt;0,INDEX(rngYear,A238+1),"")</f>
      </c>
      <c r="C238" s="11">
        <f>IFERROR(INDEX(rngData,MATCH($B238,rngYear,0),MATCH(OFFSET(C238,-$A238,0),rngColumnNames,0)),"")</f>
      </c>
      <c r="D238" s="11">
        <f>IFERROR(INDEX(rngData,MATCH($B238,rngYear,0),MATCH(OFFSET(D238,-$A238,0),rngColumnNames,0)),"")</f>
      </c>
      <c r="E238" s="11">
        <f>IFERROR(INDEX(rngData,MATCH($B238,rngYear,0),MATCH(OFFSET(E238,-$A238,0),rngColumnNames,0)),"")</f>
      </c>
      <c r="F238" s="11">
        <f>IFERROR(INDEX(rngData,MATCH($B238,rngYear,0),MATCH(OFFSET(F238,-$A238,0),rngColumnNames,0)),"")</f>
      </c>
      <c r="G238" s="11">
        <f t="shared" si="14"/>
      </c>
    </row>
    <row r="239" hidden="1">
      <c r="A239" s="9">
        <f t="shared" si="15"/>
        <v>41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>IFERROR(INDEX(rngData,MATCH($B239,rngYear,0),MATCH(OFFSET(F239,-$A239,0),rngColumnNames,0)),"")</f>
      </c>
      <c r="G239" s="11">
        <f t="shared" si="14"/>
      </c>
    </row>
    <row r="240" hidden="1">
      <c r="A240" s="9">
        <f t="shared" si="15"/>
        <v>42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>IFERROR(INDEX(rngData,MATCH($B240,rngYear,0),MATCH(OFFSET(F240,-$A240,0),rngColumnNames,0)),"")</f>
      </c>
      <c r="G240" s="11">
        <f t="shared" si="14"/>
      </c>
    </row>
    <row r="241" hidden="1">
      <c r="A241" s="9">
        <f t="shared" si="15"/>
        <v>43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>IFERROR(INDEX(rngData,MATCH($B241,rngYear,0),MATCH(OFFSET(F241,-$A241,0),rngColumnNames,0)),"")</f>
      </c>
      <c r="G241" s="11">
        <f t="shared" si="14"/>
      </c>
    </row>
    <row r="242" hidden="1">
      <c r="A242" s="9">
        <f t="shared" si="15"/>
        <v>44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>IFERROR(INDEX(rngData,MATCH($B242,rngYear,0),MATCH(OFFSET(F242,-$A242,0),rngColumnNames,0)),"")</f>
      </c>
      <c r="G242" s="11">
        <f t="shared" si="14"/>
      </c>
    </row>
    <row r="243" hidden="1">
      <c r="A243" s="9">
        <f t="shared" si="15"/>
        <v>45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>IFERROR(INDEX(rngData,MATCH($B243,rngYear,0),MATCH(OFFSET(F243,-$A243,0),rngColumnNames,0)),"")</f>
      </c>
      <c r="G243" s="11">
        <f t="shared" si="14"/>
      </c>
    </row>
    <row r="244" hidden="1">
      <c r="A244" s="9">
        <f t="shared" si="15"/>
        <v>46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>IFERROR(INDEX(rngData,MATCH($B244,rngYear,0),MATCH(OFFSET(F244,-$A244,0),rngColumnNames,0)),"")</f>
      </c>
      <c r="G244" s="11">
        <f t="shared" si="14"/>
      </c>
    </row>
    <row r="245" hidden="1">
      <c r="A245" s="9">
        <f t="shared" si="15"/>
        <v>47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>IFERROR(INDEX(rngData,MATCH($B245,rngYear,0),MATCH(OFFSET(F245,-$A245,0),rngColumnNames,0)),"")</f>
      </c>
      <c r="G245" s="11">
        <f t="shared" si="14"/>
      </c>
    </row>
    <row r="246" hidden="1">
      <c r="A246" s="9">
        <f t="shared" si="15"/>
        <v>48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>IFERROR(INDEX(rngData,MATCH($B246,rngYear,0),MATCH(OFFSET(F246,-$A246,0),rngColumnNames,0)),"")</f>
      </c>
      <c r="G246" s="11">
        <f t="shared" si="14"/>
      </c>
    </row>
    <row r="247" hidden="1">
      <c r="A247" s="9">
        <f t="shared" si="15"/>
        <v>49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>IFERROR(INDEX(rngData,MATCH($B247,rngYear,0),MATCH(OFFSET(F247,-$A247,0),rngColumnNames,0)),"")</f>
      </c>
      <c r="G247" s="11">
        <f t="shared" si="14"/>
      </c>
    </row>
    <row r="248" hidden="1">
      <c r="A248" s="9">
        <f t="shared" si="15"/>
        <v>50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>IFERROR(INDEX(rngData,MATCH($B248,rngYear,0),MATCH(OFFSET(F248,-$A248,0),rngColumnNames,0)),"")</f>
      </c>
      <c r="G248" s="11">
        <f t="shared" si="14"/>
      </c>
    </row>
    <row r="249" hidden="1">
      <c r="A249" s="9">
        <f t="shared" si="15"/>
        <v>51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>IFERROR(INDEX(rngData,MATCH($B249,rngYear,0),MATCH(OFFSET(F249,-$A249,0),rngColumnNames,0)),"")</f>
      </c>
      <c r="G249" s="11">
        <f t="shared" si="14"/>
      </c>
    </row>
    <row r="250" hidden="1">
      <c r="A250" s="9">
        <f t="shared" si="15"/>
        <v>52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>IFERROR(INDEX(rngData,MATCH($B250,rngYear,0),MATCH(OFFSET(F250,-$A250,0),rngColumnNames,0)),"")</f>
      </c>
      <c r="G250" s="11">
        <f t="shared" si="14"/>
      </c>
    </row>
    <row r="251" hidden="1">
      <c r="A251" s="9">
        <f t="shared" si="15"/>
        <v>53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>IFERROR(INDEX(rngData,MATCH($B251,rngYear,0),MATCH(OFFSET(F251,-$A251,0),rngColumnNames,0)),"")</f>
      </c>
      <c r="G251" s="11">
        <f t="shared" si="14"/>
      </c>
    </row>
    <row r="252" hidden="1">
      <c r="A252" s="9">
        <f t="shared" si="15"/>
        <v>54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>IFERROR(INDEX(rngData,MATCH($B252,rngYear,0),MATCH(OFFSET(F252,-$A252,0),rngColumnNames,0)),"")</f>
      </c>
      <c r="G252" s="11">
        <f t="shared" si="14"/>
      </c>
    </row>
    <row r="253" hidden="1">
      <c r="A253" s="9">
        <f t="shared" si="15"/>
        <v>55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>IFERROR(INDEX(rngData,MATCH($B253,rngYear,0),MATCH(OFFSET(F253,-$A253,0),rngColumnNames,0)),"")</f>
      </c>
      <c r="G253" s="11">
        <f t="shared" si="14"/>
      </c>
    </row>
    <row r="254" hidden="1">
      <c r="A254" s="9">
        <f t="shared" si="15"/>
        <v>56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>IFERROR(INDEX(rngData,MATCH($B254,rngYear,0),MATCH(OFFSET(F254,-$A254,0),rngColumnNames,0)),"")</f>
      </c>
      <c r="G254" s="11">
        <f t="shared" si="14"/>
      </c>
    </row>
    <row r="255" hidden="1">
      <c r="A255" s="9">
        <f t="shared" si="15"/>
        <v>57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>IFERROR(INDEX(rngData,MATCH($B255,rngYear,0),MATCH(OFFSET(F255,-$A255,0),rngColumnNames,0)),"")</f>
      </c>
      <c r="G255" s="11">
        <f t="shared" si="14"/>
      </c>
    </row>
    <row r="256" hidden="1">
      <c r="A256" s="9">
        <f t="shared" si="15"/>
        <v>58</v>
      </c>
      <c r="B256" s="10">
        <f>IF(INDEX(rngYear,A256+1)&lt;&gt;0,INDEX(rngYear,A256+1),"")</f>
      </c>
      <c r="C256" s="11">
        <f>IFERROR(INDEX(rngData,MATCH($B256,rngYear,0),MATCH(OFFSET(C256,-$A256,0),rngColumnNames,0)),"")</f>
      </c>
      <c r="D256" s="11">
        <f>IFERROR(INDEX(rngData,MATCH($B256,rngYear,0),MATCH(OFFSET(D256,-$A256,0),rngColumnNames,0)),"")</f>
      </c>
      <c r="E256" s="11">
        <f>IFERROR(INDEX(rngData,MATCH($B256,rngYear,0),MATCH(OFFSET(E256,-$A256,0),rngColumnNames,0)),"")</f>
      </c>
      <c r="F256" s="11">
        <f>IFERROR(INDEX(rngData,MATCH($B256,rngYear,0),MATCH(OFFSET(F256,-$A256,0),rngColumnNames,0)),"")</f>
      </c>
      <c r="G256" s="11">
        <f t="shared" si="14"/>
      </c>
    </row>
    <row r="257" hidden="1">
      <c r="A257" s="9">
        <f t="shared" si="15"/>
        <v>59</v>
      </c>
      <c r="B257" s="10">
        <f>IF(INDEX(rngYear,A257+1)&lt;&gt;0,INDEX(rngYear,A257+1),"")</f>
      </c>
      <c r="C257" s="11">
        <f>IFERROR(INDEX(rngData,MATCH($B257,rngYear,0),MATCH(OFFSET(C257,-$A257,0),rngColumnNames,0)),"")</f>
      </c>
      <c r="D257" s="11">
        <f>IFERROR(INDEX(rngData,MATCH($B257,rngYear,0),MATCH(OFFSET(D257,-$A257,0),rngColumnNames,0)),"")</f>
      </c>
      <c r="E257" s="11">
        <f>IFERROR(INDEX(rngData,MATCH($B257,rngYear,0),MATCH(OFFSET(E257,-$A257,0),rngColumnNames,0)),"")</f>
      </c>
      <c r="F257" s="11">
        <f>IFERROR(INDEX(rngData,MATCH($B257,rngYear,0),MATCH(OFFSET(F257,-$A257,0),rngColumnNames,0)),"")</f>
      </c>
      <c r="G257" s="11">
        <f t="shared" si="14"/>
      </c>
    </row>
    <row r="258" hidden="1">
      <c r="A258" s="9">
        <f t="shared" si="15"/>
        <v>60</v>
      </c>
      <c r="B258" s="10">
        <f>IF(INDEX(rngYear,A258+1)&lt;&gt;0,INDEX(rngYear,A258+1),"")</f>
      </c>
      <c r="C258" s="11">
        <f>IFERROR(INDEX(rngData,MATCH($B258,rngYear,0),MATCH(OFFSET(C258,-$A258,0),rngColumnNames,0)),"")</f>
      </c>
      <c r="D258" s="11">
        <f>IFERROR(INDEX(rngData,MATCH($B258,rngYear,0),MATCH(OFFSET(D258,-$A258,0),rngColumnNames,0)),"")</f>
      </c>
      <c r="E258" s="11">
        <f>IFERROR(INDEX(rngData,MATCH($B258,rngYear,0),MATCH(OFFSET(E258,-$A258,0),rngColumnNames,0)),"")</f>
      </c>
      <c r="F258" s="11">
        <f>IFERROR(INDEX(rngData,MATCH($B258,rngYear,0),MATCH(OFFSET(F258,-$A258,0),rngColumnNames,0)),"")</f>
      </c>
      <c r="G258" s="11">
        <f t="shared" si="14"/>
      </c>
    </row>
    <row r="260" ht="19.5" customHeight="1">
      <c r="A260" s="16" t="s">
        <v>99</v>
      </c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</row>
    <row r="261" ht="15" customHeight="1">
      <c r="B261" s="4"/>
      <c r="C261" s="5" t="s">
        <v>95</v>
      </c>
      <c r="D261" s="5" t="s">
        <v>81</v>
      </c>
      <c r="E261" s="17" t="s">
        <v>82</v>
      </c>
      <c r="F261" s="18"/>
      <c r="G261" s="19"/>
    </row>
    <row r="262" ht="22.5" customHeight="1">
      <c r="A262" s="6" t="s">
        <v>83</v>
      </c>
      <c r="B262" s="7" t="s">
        <v>4</v>
      </c>
      <c r="C262" s="7" t="s">
        <v>10</v>
      </c>
      <c r="D262" s="7" t="s">
        <v>14</v>
      </c>
      <c r="E262" s="7" t="s">
        <v>40</v>
      </c>
      <c r="F262" s="7" t="s">
        <v>41</v>
      </c>
      <c r="G262" s="8" t="s">
        <v>82</v>
      </c>
    </row>
    <row r="263">
      <c r="A263" s="9">
        <v>1</v>
      </c>
      <c r="B263" s="10">
        <f>IF(INDEX(rngYear,A263+1)&lt;&gt;0,INDEX(rngYear,A263+1),"")</f>
        <v>1980</v>
      </c>
      <c r="C263" s="11">
        <f>IFERROR(INDEX(rngData,MATCH($B263,rngYear,0),MATCH(OFFSET(C263,-$A263,0),rngColumnNames,0)),"")</f>
        <v>0</v>
      </c>
      <c r="D263" s="11">
        <f>IFERROR(INDEX(rngData,MATCH($B263,rngYear,0),MATCH(OFFSET(D263,-$A263,0),rngColumnNames,0)),"")</f>
        <v>0</v>
      </c>
      <c r="E263" s="11">
        <f>IFERROR(INDEX(rngData,MATCH($B263,rngYear,0),MATCH(OFFSET(E263,-$A263,0),rngColumnNames,0)),"")</f>
        <v>0</v>
      </c>
      <c r="F263" s="11">
        <f>IFERROR(INDEX(rngData,MATCH($B263,rngYear,0),MATCH(OFFSET(F263,-$A263,0),rngColumnNames,0)),"")</f>
        <v>0</v>
      </c>
      <c r="G263" s="11">
        <f ref="G263:G294" t="shared" si="16">IFERROR(F263-E263,"")</f>
        <v>0</v>
      </c>
    </row>
    <row r="264">
      <c r="A264" s="9">
        <f ref="A264:A295" t="shared" si="17">A263+1</f>
        <v>2</v>
      </c>
      <c r="B264" s="10">
        <f>IF(INDEX(rngYear,A264+1)&lt;&gt;0,INDEX(rngYear,A264+1),"")</f>
        <v>1981</v>
      </c>
      <c r="C264" s="11">
        <f>IFERROR(INDEX(rngData,MATCH($B264,rngYear,0),MATCH(OFFSET(C264,-$A264,0),rngColumnNames,0)),"")</f>
        <v>0</v>
      </c>
      <c r="D264" s="11">
        <f>IFERROR(INDEX(rngData,MATCH($B264,rngYear,0),MATCH(OFFSET(D264,-$A264,0),rngColumnNames,0)),"")</f>
        <v>0</v>
      </c>
      <c r="E264" s="11">
        <f>IFERROR(INDEX(rngData,MATCH($B264,rngYear,0),MATCH(OFFSET(E264,-$A264,0),rngColumnNames,0)),"")</f>
        <v>0</v>
      </c>
      <c r="F264" s="11">
        <f>IFERROR(INDEX(rngData,MATCH($B264,rngYear,0),MATCH(OFFSET(F264,-$A264,0),rngColumnNames,0)),"")</f>
        <v>0</v>
      </c>
      <c r="G264" s="11">
        <f t="shared" si="16"/>
        <v>0</v>
      </c>
    </row>
    <row r="265">
      <c r="A265" s="9">
        <f t="shared" si="17"/>
        <v>3</v>
      </c>
      <c r="B265" s="10">
        <f>IF(INDEX(rngYear,A265+1)&lt;&gt;0,INDEX(rngYear,A265+1),"")</f>
        <v>1982</v>
      </c>
      <c r="C265" s="11">
        <f>IFERROR(INDEX(rngData,MATCH($B265,rngYear,0),MATCH(OFFSET(C265,-$A265,0),rngColumnNames,0)),"")</f>
        <v>0</v>
      </c>
      <c r="D265" s="11">
        <f>IFERROR(INDEX(rngData,MATCH($B265,rngYear,0),MATCH(OFFSET(D265,-$A265,0),rngColumnNames,0)),"")</f>
        <v>0</v>
      </c>
      <c r="E265" s="11">
        <f>IFERROR(INDEX(rngData,MATCH($B265,rngYear,0),MATCH(OFFSET(E265,-$A265,0),rngColumnNames,0)),"")</f>
        <v>0</v>
      </c>
      <c r="F265" s="11">
        <f>IFERROR(INDEX(rngData,MATCH($B265,rngYear,0),MATCH(OFFSET(F265,-$A265,0),rngColumnNames,0)),"")</f>
        <v>0</v>
      </c>
      <c r="G265" s="11">
        <f t="shared" si="16"/>
        <v>0</v>
      </c>
    </row>
    <row r="266">
      <c r="A266" s="9">
        <f t="shared" si="17"/>
        <v>4</v>
      </c>
      <c r="B266" s="10">
        <f>IF(INDEX(rngYear,A266+1)&lt;&gt;0,INDEX(rngYear,A266+1),"")</f>
        <v>1983</v>
      </c>
      <c r="C266" s="11">
        <f>IFERROR(INDEX(rngData,MATCH($B266,rngYear,0),MATCH(OFFSET(C266,-$A266,0),rngColumnNames,0)),"")</f>
        <v>0</v>
      </c>
      <c r="D266" s="11">
        <f>IFERROR(INDEX(rngData,MATCH($B266,rngYear,0),MATCH(OFFSET(D266,-$A266,0),rngColumnNames,0)),"")</f>
        <v>0</v>
      </c>
      <c r="E266" s="11">
        <f>IFERROR(INDEX(rngData,MATCH($B266,rngYear,0),MATCH(OFFSET(E266,-$A266,0),rngColumnNames,0)),"")</f>
        <v>0</v>
      </c>
      <c r="F266" s="11">
        <f>IFERROR(INDEX(rngData,MATCH($B266,rngYear,0),MATCH(OFFSET(F266,-$A266,0),rngColumnNames,0)),"")</f>
        <v>0</v>
      </c>
      <c r="G266" s="11">
        <f t="shared" si="16"/>
        <v>0</v>
      </c>
    </row>
    <row r="267">
      <c r="A267" s="9">
        <f t="shared" si="17"/>
        <v>5</v>
      </c>
      <c r="B267" s="10">
        <f>IF(INDEX(rngYear,A267+1)&lt;&gt;0,INDEX(rngYear,A267+1),"")</f>
        <v>1984</v>
      </c>
      <c r="C267" s="11">
        <f>IFERROR(INDEX(rngData,MATCH($B267,rngYear,0),MATCH(OFFSET(C267,-$A267,0),rngColumnNames,0)),"")</f>
        <v>0</v>
      </c>
      <c r="D267" s="11">
        <f>IFERROR(INDEX(rngData,MATCH($B267,rngYear,0),MATCH(OFFSET(D267,-$A267,0),rngColumnNames,0)),"")</f>
        <v>0</v>
      </c>
      <c r="E267" s="11">
        <f>IFERROR(INDEX(rngData,MATCH($B267,rngYear,0),MATCH(OFFSET(E267,-$A267,0),rngColumnNames,0)),"")</f>
        <v>0</v>
      </c>
      <c r="F267" s="11">
        <f>IFERROR(INDEX(rngData,MATCH($B267,rngYear,0),MATCH(OFFSET(F267,-$A267,0),rngColumnNames,0)),"")</f>
        <v>0</v>
      </c>
      <c r="G267" s="11">
        <f t="shared" si="16"/>
        <v>0</v>
      </c>
    </row>
    <row r="268">
      <c r="A268" s="9">
        <f t="shared" si="17"/>
        <v>6</v>
      </c>
      <c r="B268" s="10">
        <f>IF(INDEX(rngYear,A268+1)&lt;&gt;0,INDEX(rngYear,A268+1),"")</f>
        <v>1985</v>
      </c>
      <c r="C268" s="11">
        <f>IFERROR(INDEX(rngData,MATCH($B268,rngYear,0),MATCH(OFFSET(C268,-$A268,0),rngColumnNames,0)),"")</f>
        <v>0</v>
      </c>
      <c r="D268" s="11">
        <f>IFERROR(INDEX(rngData,MATCH($B268,rngYear,0),MATCH(OFFSET(D268,-$A268,0),rngColumnNames,0)),"")</f>
        <v>0</v>
      </c>
      <c r="E268" s="11">
        <f>IFERROR(INDEX(rngData,MATCH($B268,rngYear,0),MATCH(OFFSET(E268,-$A268,0),rngColumnNames,0)),"")</f>
        <v>0</v>
      </c>
      <c r="F268" s="11">
        <f>IFERROR(INDEX(rngData,MATCH($B268,rngYear,0),MATCH(OFFSET(F268,-$A268,0),rngColumnNames,0)),"")</f>
        <v>0</v>
      </c>
      <c r="G268" s="11">
        <f t="shared" si="16"/>
        <v>0</v>
      </c>
    </row>
    <row r="269">
      <c r="A269" s="9">
        <f t="shared" si="17"/>
        <v>7</v>
      </c>
      <c r="B269" s="10">
        <f>IF(INDEX(rngYear,A269+1)&lt;&gt;0,INDEX(rngYear,A269+1),"")</f>
        <v>1986</v>
      </c>
      <c r="C269" s="11">
        <f>IFERROR(INDEX(rngData,MATCH($B269,rngYear,0),MATCH(OFFSET(C269,-$A269,0),rngColumnNames,0)),"")</f>
        <v>0</v>
      </c>
      <c r="D269" s="11">
        <f>IFERROR(INDEX(rngData,MATCH($B269,rngYear,0),MATCH(OFFSET(D269,-$A269,0),rngColumnNames,0)),"")</f>
        <v>0</v>
      </c>
      <c r="E269" s="11">
        <f>IFERROR(INDEX(rngData,MATCH($B269,rngYear,0),MATCH(OFFSET(E269,-$A269,0),rngColumnNames,0)),"")</f>
        <v>0</v>
      </c>
      <c r="F269" s="11">
        <f>IFERROR(INDEX(rngData,MATCH($B269,rngYear,0),MATCH(OFFSET(F269,-$A269,0),rngColumnNames,0)),"")</f>
        <v>0</v>
      </c>
      <c r="G269" s="11">
        <f t="shared" si="16"/>
        <v>0</v>
      </c>
    </row>
    <row r="270">
      <c r="A270" s="9">
        <f t="shared" si="17"/>
        <v>8</v>
      </c>
      <c r="B270" s="10">
        <f>IF(INDEX(rngYear,A270+1)&lt;&gt;0,INDEX(rngYear,A270+1),"")</f>
        <v>1987</v>
      </c>
      <c r="C270" s="11">
        <f>IFERROR(INDEX(rngData,MATCH($B270,rngYear,0),MATCH(OFFSET(C270,-$A270,0),rngColumnNames,0)),"")</f>
        <v>0</v>
      </c>
      <c r="D270" s="11">
        <f>IFERROR(INDEX(rngData,MATCH($B270,rngYear,0),MATCH(OFFSET(D270,-$A270,0),rngColumnNames,0)),"")</f>
        <v>0</v>
      </c>
      <c r="E270" s="11">
        <f>IFERROR(INDEX(rngData,MATCH($B270,rngYear,0),MATCH(OFFSET(E270,-$A270,0),rngColumnNames,0)),"")</f>
        <v>0</v>
      </c>
      <c r="F270" s="11">
        <f>IFERROR(INDEX(rngData,MATCH($B270,rngYear,0),MATCH(OFFSET(F270,-$A270,0),rngColumnNames,0)),"")</f>
        <v>0</v>
      </c>
      <c r="G270" s="11">
        <f t="shared" si="16"/>
        <v>0</v>
      </c>
    </row>
    <row r="271">
      <c r="A271" s="9">
        <f t="shared" si="17"/>
        <v>9</v>
      </c>
      <c r="B271" s="10">
        <f>IF(INDEX(rngYear,A271+1)&lt;&gt;0,INDEX(rngYear,A271+1),"")</f>
        <v>1988</v>
      </c>
      <c r="C271" s="11">
        <f>IFERROR(INDEX(rngData,MATCH($B271,rngYear,0),MATCH(OFFSET(C271,-$A271,0),rngColumnNames,0)),"")</f>
        <v>0</v>
      </c>
      <c r="D271" s="11">
        <f>IFERROR(INDEX(rngData,MATCH($B271,rngYear,0),MATCH(OFFSET(D271,-$A271,0),rngColumnNames,0)),"")</f>
        <v>0</v>
      </c>
      <c r="E271" s="11">
        <f>IFERROR(INDEX(rngData,MATCH($B271,rngYear,0),MATCH(OFFSET(E271,-$A271,0),rngColumnNames,0)),"")</f>
        <v>0</v>
      </c>
      <c r="F271" s="11">
        <f>IFERROR(INDEX(rngData,MATCH($B271,rngYear,0),MATCH(OFFSET(F271,-$A271,0),rngColumnNames,0)),"")</f>
        <v>0</v>
      </c>
      <c r="G271" s="11">
        <f t="shared" si="16"/>
        <v>0</v>
      </c>
    </row>
    <row r="272">
      <c r="A272" s="9">
        <f t="shared" si="17"/>
        <v>10</v>
      </c>
      <c r="B272" s="10">
        <f>IF(INDEX(rngYear,A272+1)&lt;&gt;0,INDEX(rngYear,A272+1),"")</f>
        <v>1989</v>
      </c>
      <c r="C272" s="11">
        <f>IFERROR(INDEX(rngData,MATCH($B272,rngYear,0),MATCH(OFFSET(C272,-$A272,0),rngColumnNames,0)),"")</f>
        <v>0</v>
      </c>
      <c r="D272" s="11">
        <f>IFERROR(INDEX(rngData,MATCH($B272,rngYear,0),MATCH(OFFSET(D272,-$A272,0),rngColumnNames,0)),"")</f>
        <v>0</v>
      </c>
      <c r="E272" s="11">
        <f>IFERROR(INDEX(rngData,MATCH($B272,rngYear,0),MATCH(OFFSET(E272,-$A272,0),rngColumnNames,0)),"")</f>
        <v>0</v>
      </c>
      <c r="F272" s="11">
        <f>IFERROR(INDEX(rngData,MATCH($B272,rngYear,0),MATCH(OFFSET(F272,-$A272,0),rngColumnNames,0)),"")</f>
        <v>0</v>
      </c>
      <c r="G272" s="11">
        <f t="shared" si="16"/>
        <v>0</v>
      </c>
    </row>
    <row r="273">
      <c r="A273" s="9">
        <f t="shared" si="17"/>
        <v>11</v>
      </c>
      <c r="B273" s="10">
        <f>IF(INDEX(rngYear,A273+1)&lt;&gt;0,INDEX(rngYear,A273+1),"")</f>
        <v>1990</v>
      </c>
      <c r="C273" s="11">
        <f>IFERROR(INDEX(rngData,MATCH($B273,rngYear,0),MATCH(OFFSET(C273,-$A273,0),rngColumnNames,0)),"")</f>
        <v>0</v>
      </c>
      <c r="D273" s="11">
        <f>IFERROR(INDEX(rngData,MATCH($B273,rngYear,0),MATCH(OFFSET(D273,-$A273,0),rngColumnNames,0)),"")</f>
        <v>0</v>
      </c>
      <c r="E273" s="11">
        <f>IFERROR(INDEX(rngData,MATCH($B273,rngYear,0),MATCH(OFFSET(E273,-$A273,0),rngColumnNames,0)),"")</f>
        <v>0</v>
      </c>
      <c r="F273" s="11">
        <f>IFERROR(INDEX(rngData,MATCH($B273,rngYear,0),MATCH(OFFSET(F273,-$A273,0),rngColumnNames,0)),"")</f>
        <v>0</v>
      </c>
      <c r="G273" s="11">
        <f t="shared" si="16"/>
        <v>0</v>
      </c>
    </row>
    <row r="274">
      <c r="A274" s="9">
        <f t="shared" si="17"/>
        <v>12</v>
      </c>
      <c r="B274" s="10">
        <f>IF(INDEX(rngYear,A274+1)&lt;&gt;0,INDEX(rngYear,A274+1),"")</f>
        <v>1991</v>
      </c>
      <c r="C274" s="11">
        <f>IFERROR(INDEX(rngData,MATCH($B274,rngYear,0),MATCH(OFFSET(C274,-$A274,0),rngColumnNames,0)),"")</f>
        <v>0</v>
      </c>
      <c r="D274" s="11">
        <f>IFERROR(INDEX(rngData,MATCH($B274,rngYear,0),MATCH(OFFSET(D274,-$A274,0),rngColumnNames,0)),"")</f>
        <v>0</v>
      </c>
      <c r="E274" s="11">
        <f>IFERROR(INDEX(rngData,MATCH($B274,rngYear,0),MATCH(OFFSET(E274,-$A274,0),rngColumnNames,0)),"")</f>
        <v>0</v>
      </c>
      <c r="F274" s="11">
        <f>IFERROR(INDEX(rngData,MATCH($B274,rngYear,0),MATCH(OFFSET(F274,-$A274,0),rngColumnNames,0)),"")</f>
        <v>0</v>
      </c>
      <c r="G274" s="11">
        <f t="shared" si="16"/>
        <v>0</v>
      </c>
    </row>
    <row r="275">
      <c r="A275" s="9">
        <f t="shared" si="17"/>
        <v>13</v>
      </c>
      <c r="B275" s="10">
        <f>IF(INDEX(rngYear,A275+1)&lt;&gt;0,INDEX(rngYear,A275+1),"")</f>
        <v>1992</v>
      </c>
      <c r="C275" s="11">
        <f>IFERROR(INDEX(rngData,MATCH($B275,rngYear,0),MATCH(OFFSET(C275,-$A275,0),rngColumnNames,0)),"")</f>
        <v>0</v>
      </c>
      <c r="D275" s="11">
        <f>IFERROR(INDEX(rngData,MATCH($B275,rngYear,0),MATCH(OFFSET(D275,-$A275,0),rngColumnNames,0)),"")</f>
        <v>0</v>
      </c>
      <c r="E275" s="11">
        <f>IFERROR(INDEX(rngData,MATCH($B275,rngYear,0),MATCH(OFFSET(E275,-$A275,0),rngColumnNames,0)),"")</f>
        <v>0</v>
      </c>
      <c r="F275" s="11">
        <f>IFERROR(INDEX(rngData,MATCH($B275,rngYear,0),MATCH(OFFSET(F275,-$A275,0),rngColumnNames,0)),"")</f>
        <v>0</v>
      </c>
      <c r="G275" s="11">
        <f t="shared" si="16"/>
        <v>0</v>
      </c>
    </row>
    <row r="276">
      <c r="A276" s="9">
        <f t="shared" si="17"/>
        <v>14</v>
      </c>
      <c r="B276" s="10">
        <f>IF(INDEX(rngYear,A276+1)&lt;&gt;0,INDEX(rngYear,A276+1),"")</f>
        <v>1993</v>
      </c>
      <c r="C276" s="11">
        <f>IFERROR(INDEX(rngData,MATCH($B276,rngYear,0),MATCH(OFFSET(C276,-$A276,0),rngColumnNames,0)),"")</f>
        <v>0</v>
      </c>
      <c r="D276" s="11">
        <f>IFERROR(INDEX(rngData,MATCH($B276,rngYear,0),MATCH(OFFSET(D276,-$A276,0),rngColumnNames,0)),"")</f>
        <v>0</v>
      </c>
      <c r="E276" s="11">
        <f>IFERROR(INDEX(rngData,MATCH($B276,rngYear,0),MATCH(OFFSET(E276,-$A276,0),rngColumnNames,0)),"")</f>
        <v>0</v>
      </c>
      <c r="F276" s="11">
        <f>IFERROR(INDEX(rngData,MATCH($B276,rngYear,0),MATCH(OFFSET(F276,-$A276,0),rngColumnNames,0)),"")</f>
        <v>0</v>
      </c>
      <c r="G276" s="11">
        <f t="shared" si="16"/>
        <v>0</v>
      </c>
    </row>
    <row r="277">
      <c r="A277" s="9">
        <f t="shared" si="17"/>
        <v>15</v>
      </c>
      <c r="B277" s="10">
        <f>IF(INDEX(rngYear,A277+1)&lt;&gt;0,INDEX(rngYear,A277+1),"")</f>
        <v>1994</v>
      </c>
      <c r="C277" s="11">
        <f>IFERROR(INDEX(rngData,MATCH($B277,rngYear,0),MATCH(OFFSET(C277,-$A277,0),rngColumnNames,0)),"")</f>
        <v>0</v>
      </c>
      <c r="D277" s="11">
        <f>IFERROR(INDEX(rngData,MATCH($B277,rngYear,0),MATCH(OFFSET(D277,-$A277,0),rngColumnNames,0)),"")</f>
        <v>0</v>
      </c>
      <c r="E277" s="11">
        <f>IFERROR(INDEX(rngData,MATCH($B277,rngYear,0),MATCH(OFFSET(E277,-$A277,0),rngColumnNames,0)),"")</f>
        <v>0</v>
      </c>
      <c r="F277" s="11">
        <f>IFERROR(INDEX(rngData,MATCH($B277,rngYear,0),MATCH(OFFSET(F277,-$A277,0),rngColumnNames,0)),"")</f>
        <v>0</v>
      </c>
      <c r="G277" s="11">
        <f t="shared" si="16"/>
        <v>0</v>
      </c>
    </row>
    <row r="278">
      <c r="A278" s="9">
        <f t="shared" si="17"/>
        <v>16</v>
      </c>
      <c r="B278" s="10">
        <f>IF(INDEX(rngYear,A278+1)&lt;&gt;0,INDEX(rngYear,A278+1),"")</f>
        <v>1995</v>
      </c>
      <c r="C278" s="11">
        <f>IFERROR(INDEX(rngData,MATCH($B278,rngYear,0),MATCH(OFFSET(C278,-$A278,0),rngColumnNames,0)),"")</f>
        <v>0</v>
      </c>
      <c r="D278" s="11">
        <f>IFERROR(INDEX(rngData,MATCH($B278,rngYear,0),MATCH(OFFSET(D278,-$A278,0),rngColumnNames,0)),"")</f>
        <v>0</v>
      </c>
      <c r="E278" s="11">
        <f>IFERROR(INDEX(rngData,MATCH($B278,rngYear,0),MATCH(OFFSET(E278,-$A278,0),rngColumnNames,0)),"")</f>
        <v>0</v>
      </c>
      <c r="F278" s="11">
        <f>IFERROR(INDEX(rngData,MATCH($B278,rngYear,0),MATCH(OFFSET(F278,-$A278,0),rngColumnNames,0)),"")</f>
        <v>0</v>
      </c>
      <c r="G278" s="11">
        <f t="shared" si="16"/>
        <v>0</v>
      </c>
    </row>
    <row r="279">
      <c r="A279" s="9">
        <f t="shared" si="17"/>
        <v>17</v>
      </c>
      <c r="B279" s="10">
        <f>IF(INDEX(rngYear,A279+1)&lt;&gt;0,INDEX(rngYear,A279+1),"")</f>
        <v>1996</v>
      </c>
      <c r="C279" s="11">
        <f>IFERROR(INDEX(rngData,MATCH($B279,rngYear,0),MATCH(OFFSET(C279,-$A279,0),rngColumnNames,0)),"")</f>
        <v>0</v>
      </c>
      <c r="D279" s="11">
        <f>IFERROR(INDEX(rngData,MATCH($B279,rngYear,0),MATCH(OFFSET(D279,-$A279,0),rngColumnNames,0)),"")</f>
        <v>0</v>
      </c>
      <c r="E279" s="11">
        <f>IFERROR(INDEX(rngData,MATCH($B279,rngYear,0),MATCH(OFFSET(E279,-$A279,0),rngColumnNames,0)),"")</f>
        <v>0</v>
      </c>
      <c r="F279" s="11">
        <f>IFERROR(INDEX(rngData,MATCH($B279,rngYear,0),MATCH(OFFSET(F279,-$A279,0),rngColumnNames,0)),"")</f>
        <v>0</v>
      </c>
      <c r="G279" s="11">
        <f t="shared" si="16"/>
        <v>0</v>
      </c>
    </row>
    <row r="280">
      <c r="A280" s="9">
        <f t="shared" si="17"/>
        <v>18</v>
      </c>
      <c r="B280" s="10">
        <f>IF(INDEX(rngYear,A280+1)&lt;&gt;0,INDEX(rngYear,A280+1),"")</f>
        <v>1997</v>
      </c>
      <c r="C280" s="11">
        <f>IFERROR(INDEX(rngData,MATCH($B280,rngYear,0),MATCH(OFFSET(C280,-$A280,0),rngColumnNames,0)),"")</f>
        <v>0</v>
      </c>
      <c r="D280" s="11">
        <f>IFERROR(INDEX(rngData,MATCH($B280,rngYear,0),MATCH(OFFSET(D280,-$A280,0),rngColumnNames,0)),"")</f>
        <v>0</v>
      </c>
      <c r="E280" s="11">
        <f>IFERROR(INDEX(rngData,MATCH($B280,rngYear,0),MATCH(OFFSET(E280,-$A280,0),rngColumnNames,0)),"")</f>
        <v>0</v>
      </c>
      <c r="F280" s="11">
        <f>IFERROR(INDEX(rngData,MATCH($B280,rngYear,0),MATCH(OFFSET(F280,-$A280,0),rngColumnNames,0)),"")</f>
        <v>0</v>
      </c>
      <c r="G280" s="11">
        <f t="shared" si="16"/>
        <v>0</v>
      </c>
    </row>
    <row r="281">
      <c r="A281" s="9">
        <f t="shared" si="17"/>
        <v>19</v>
      </c>
      <c r="B281" s="10">
        <f>IF(INDEX(rngYear,A281+1)&lt;&gt;0,INDEX(rngYear,A281+1),"")</f>
        <v>1998</v>
      </c>
      <c r="C281" s="11">
        <f>IFERROR(INDEX(rngData,MATCH($B281,rngYear,0),MATCH(OFFSET(C281,-$A281,0),rngColumnNames,0)),"")</f>
        <v>0</v>
      </c>
      <c r="D281" s="11">
        <f>IFERROR(INDEX(rngData,MATCH($B281,rngYear,0),MATCH(OFFSET(D281,-$A281,0),rngColumnNames,0)),"")</f>
        <v>0</v>
      </c>
      <c r="E281" s="11">
        <f>IFERROR(INDEX(rngData,MATCH($B281,rngYear,0),MATCH(OFFSET(E281,-$A281,0),rngColumnNames,0)),"")</f>
        <v>0</v>
      </c>
      <c r="F281" s="11">
        <f>IFERROR(INDEX(rngData,MATCH($B281,rngYear,0),MATCH(OFFSET(F281,-$A281,0),rngColumnNames,0)),"")</f>
        <v>0</v>
      </c>
      <c r="G281" s="11">
        <f t="shared" si="16"/>
        <v>0</v>
      </c>
    </row>
    <row r="282">
      <c r="A282" s="9">
        <f t="shared" si="17"/>
        <v>20</v>
      </c>
      <c r="B282" s="10">
        <f>IF(INDEX(rngYear,A282+1)&lt;&gt;0,INDEX(rngYear,A282+1),"")</f>
        <v>1999</v>
      </c>
      <c r="C282" s="11">
        <f>IFERROR(INDEX(rngData,MATCH($B282,rngYear,0),MATCH(OFFSET(C282,-$A282,0),rngColumnNames,0)),"")</f>
        <v>0</v>
      </c>
      <c r="D282" s="11">
        <f>IFERROR(INDEX(rngData,MATCH($B282,rngYear,0),MATCH(OFFSET(D282,-$A282,0),rngColumnNames,0)),"")</f>
        <v>0</v>
      </c>
      <c r="E282" s="11">
        <f>IFERROR(INDEX(rngData,MATCH($B282,rngYear,0),MATCH(OFFSET(E282,-$A282,0),rngColumnNames,0)),"")</f>
        <v>0</v>
      </c>
      <c r="F282" s="11">
        <f>IFERROR(INDEX(rngData,MATCH($B282,rngYear,0),MATCH(OFFSET(F282,-$A282,0),rngColumnNames,0)),"")</f>
        <v>0</v>
      </c>
      <c r="G282" s="11">
        <f t="shared" si="16"/>
        <v>0</v>
      </c>
    </row>
    <row r="283">
      <c r="A283" s="9">
        <f t="shared" si="17"/>
        <v>21</v>
      </c>
      <c r="B283" s="10">
        <f>IF(INDEX(rngYear,A283+1)&lt;&gt;0,INDEX(rngYear,A283+1),"")</f>
        <v>2000</v>
      </c>
      <c r="C283" s="11">
        <f>IFERROR(INDEX(rngData,MATCH($B283,rngYear,0),MATCH(OFFSET(C283,-$A283,0),rngColumnNames,0)),"")</f>
        <v>0</v>
      </c>
      <c r="D283" s="11">
        <f>IFERROR(INDEX(rngData,MATCH($B283,rngYear,0),MATCH(OFFSET(D283,-$A283,0),rngColumnNames,0)),"")</f>
        <v>0</v>
      </c>
      <c r="E283" s="11">
        <f>IFERROR(INDEX(rngData,MATCH($B283,rngYear,0),MATCH(OFFSET(E283,-$A283,0),rngColumnNames,0)),"")</f>
        <v>0</v>
      </c>
      <c r="F283" s="11">
        <f>IFERROR(INDEX(rngData,MATCH($B283,rngYear,0),MATCH(OFFSET(F283,-$A283,0),rngColumnNames,0)),"")</f>
        <v>0</v>
      </c>
      <c r="G283" s="11">
        <f t="shared" si="16"/>
        <v>0</v>
      </c>
    </row>
    <row r="284">
      <c r="A284" s="9">
        <f t="shared" si="17"/>
        <v>22</v>
      </c>
      <c r="B284" s="10">
        <f>IF(INDEX(rngYear,A284+1)&lt;&gt;0,INDEX(rngYear,A284+1),"")</f>
        <v>2001</v>
      </c>
      <c r="C284" s="11">
        <f>IFERROR(INDEX(rngData,MATCH($B284,rngYear,0),MATCH(OFFSET(C284,-$A284,0),rngColumnNames,0)),"")</f>
        <v>0</v>
      </c>
      <c r="D284" s="11">
        <f>IFERROR(INDEX(rngData,MATCH($B284,rngYear,0),MATCH(OFFSET(D284,-$A284,0),rngColumnNames,0)),"")</f>
        <v>0</v>
      </c>
      <c r="E284" s="11">
        <f>IFERROR(INDEX(rngData,MATCH($B284,rngYear,0),MATCH(OFFSET(E284,-$A284,0),rngColumnNames,0)),"")</f>
        <v>0</v>
      </c>
      <c r="F284" s="11">
        <f>IFERROR(INDEX(rngData,MATCH($B284,rngYear,0),MATCH(OFFSET(F284,-$A284,0),rngColumnNames,0)),"")</f>
        <v>0</v>
      </c>
      <c r="G284" s="11">
        <f t="shared" si="16"/>
        <v>0</v>
      </c>
    </row>
    <row r="285">
      <c r="A285" s="9">
        <f t="shared" si="17"/>
        <v>23</v>
      </c>
      <c r="B285" s="10">
        <f>IF(INDEX(rngYear,A285+1)&lt;&gt;0,INDEX(rngYear,A285+1),"")</f>
        <v>2002</v>
      </c>
      <c r="C285" s="11">
        <f>IFERROR(INDEX(rngData,MATCH($B285,rngYear,0),MATCH(OFFSET(C285,-$A285,0),rngColumnNames,0)),"")</f>
        <v>0</v>
      </c>
      <c r="D285" s="11">
        <f>IFERROR(INDEX(rngData,MATCH($B285,rngYear,0),MATCH(OFFSET(D285,-$A285,0),rngColumnNames,0)),"")</f>
        <v>0</v>
      </c>
      <c r="E285" s="11">
        <f>IFERROR(INDEX(rngData,MATCH($B285,rngYear,0),MATCH(OFFSET(E285,-$A285,0),rngColumnNames,0)),"")</f>
        <v>0</v>
      </c>
      <c r="F285" s="11">
        <f>IFERROR(INDEX(rngData,MATCH($B285,rngYear,0),MATCH(OFFSET(F285,-$A285,0),rngColumnNames,0)),"")</f>
        <v>0</v>
      </c>
      <c r="G285" s="11">
        <f t="shared" si="16"/>
        <v>0</v>
      </c>
    </row>
    <row r="286">
      <c r="A286" s="9">
        <f t="shared" si="17"/>
        <v>24</v>
      </c>
      <c r="B286" s="10">
        <f>IF(INDEX(rngYear,A286+1)&lt;&gt;0,INDEX(rngYear,A286+1),"")</f>
        <v>2003</v>
      </c>
      <c r="C286" s="11">
        <f>IFERROR(INDEX(rngData,MATCH($B286,rngYear,0),MATCH(OFFSET(C286,-$A286,0),rngColumnNames,0)),"")</f>
        <v>0</v>
      </c>
      <c r="D286" s="11">
        <f>IFERROR(INDEX(rngData,MATCH($B286,rngYear,0),MATCH(OFFSET(D286,-$A286,0),rngColumnNames,0)),"")</f>
        <v>0</v>
      </c>
      <c r="E286" s="11">
        <f>IFERROR(INDEX(rngData,MATCH($B286,rngYear,0),MATCH(OFFSET(E286,-$A286,0),rngColumnNames,0)),"")</f>
        <v>0</v>
      </c>
      <c r="F286" s="11">
        <f>IFERROR(INDEX(rngData,MATCH($B286,rngYear,0),MATCH(OFFSET(F286,-$A286,0),rngColumnNames,0)),"")</f>
        <v>0</v>
      </c>
      <c r="G286" s="11">
        <f t="shared" si="16"/>
        <v>0</v>
      </c>
    </row>
    <row r="287">
      <c r="A287" s="9">
        <f t="shared" si="17"/>
        <v>25</v>
      </c>
      <c r="B287" s="10">
        <f>IF(INDEX(rngYear,A287+1)&lt;&gt;0,INDEX(rngYear,A287+1),"")</f>
        <v>2004</v>
      </c>
      <c r="C287" s="11">
        <f>IFERROR(INDEX(rngData,MATCH($B287,rngYear,0),MATCH(OFFSET(C287,-$A287,0),rngColumnNames,0)),"")</f>
        <v>0</v>
      </c>
      <c r="D287" s="11">
        <f>IFERROR(INDEX(rngData,MATCH($B287,rngYear,0),MATCH(OFFSET(D287,-$A287,0),rngColumnNames,0)),"")</f>
        <v>0</v>
      </c>
      <c r="E287" s="11">
        <f>IFERROR(INDEX(rngData,MATCH($B287,rngYear,0),MATCH(OFFSET(E287,-$A287,0),rngColumnNames,0)),"")</f>
        <v>0</v>
      </c>
      <c r="F287" s="11">
        <f>IFERROR(INDEX(rngData,MATCH($B287,rngYear,0),MATCH(OFFSET(F287,-$A287,0),rngColumnNames,0)),"")</f>
        <v>0</v>
      </c>
      <c r="G287" s="11">
        <f t="shared" si="16"/>
        <v>0</v>
      </c>
    </row>
    <row r="288">
      <c r="A288" s="9">
        <f t="shared" si="17"/>
        <v>26</v>
      </c>
      <c r="B288" s="10">
        <f>IF(INDEX(rngYear,A288+1)&lt;&gt;0,INDEX(rngYear,A288+1),"")</f>
        <v>2005</v>
      </c>
      <c r="C288" s="11">
        <f>IFERROR(INDEX(rngData,MATCH($B288,rngYear,0),MATCH(OFFSET(C288,-$A288,0),rngColumnNames,0)),"")</f>
        <v>0</v>
      </c>
      <c r="D288" s="11">
        <f>IFERROR(INDEX(rngData,MATCH($B288,rngYear,0),MATCH(OFFSET(D288,-$A288,0),rngColumnNames,0)),"")</f>
        <v>0</v>
      </c>
      <c r="E288" s="11">
        <f>IFERROR(INDEX(rngData,MATCH($B288,rngYear,0),MATCH(OFFSET(E288,-$A288,0),rngColumnNames,0)),"")</f>
        <v>0</v>
      </c>
      <c r="F288" s="11">
        <f>IFERROR(INDEX(rngData,MATCH($B288,rngYear,0),MATCH(OFFSET(F288,-$A288,0),rngColumnNames,0)),"")</f>
        <v>0</v>
      </c>
      <c r="G288" s="11">
        <f t="shared" si="16"/>
        <v>0</v>
      </c>
    </row>
    <row r="289">
      <c r="A289" s="9">
        <f t="shared" si="17"/>
        <v>27</v>
      </c>
      <c r="B289" s="10">
        <f>IF(INDEX(rngYear,A289+1)&lt;&gt;0,INDEX(rngYear,A289+1),"")</f>
        <v>2006</v>
      </c>
      <c r="C289" s="11">
        <f>IFERROR(INDEX(rngData,MATCH($B289,rngYear,0),MATCH(OFFSET(C289,-$A289,0),rngColumnNames,0)),"")</f>
        <v>0</v>
      </c>
      <c r="D289" s="11">
        <f>IFERROR(INDEX(rngData,MATCH($B289,rngYear,0),MATCH(OFFSET(D289,-$A289,0),rngColumnNames,0)),"")</f>
        <v>0</v>
      </c>
      <c r="E289" s="11">
        <f>IFERROR(INDEX(rngData,MATCH($B289,rngYear,0),MATCH(OFFSET(E289,-$A289,0),rngColumnNames,0)),"")</f>
        <v>0</v>
      </c>
      <c r="F289" s="11">
        <f>IFERROR(INDEX(rngData,MATCH($B289,rngYear,0),MATCH(OFFSET(F289,-$A289,0),rngColumnNames,0)),"")</f>
        <v>0</v>
      </c>
      <c r="G289" s="11">
        <f t="shared" si="16"/>
        <v>0</v>
      </c>
    </row>
    <row r="290">
      <c r="A290" s="9">
        <f t="shared" si="17"/>
        <v>28</v>
      </c>
      <c r="B290" s="10">
        <f>IF(INDEX(rngYear,A290+1)&lt;&gt;0,INDEX(rngYear,A290+1),"")</f>
        <v>2007</v>
      </c>
      <c r="C290" s="11">
        <f>IFERROR(INDEX(rngData,MATCH($B290,rngYear,0),MATCH(OFFSET(C290,-$A290,0),rngColumnNames,0)),"")</f>
        <v>0</v>
      </c>
      <c r="D290" s="11">
        <f>IFERROR(INDEX(rngData,MATCH($B290,rngYear,0),MATCH(OFFSET(D290,-$A290,0),rngColumnNames,0)),"")</f>
        <v>0</v>
      </c>
      <c r="E290" s="11">
        <f>IFERROR(INDEX(rngData,MATCH($B290,rngYear,0),MATCH(OFFSET(E290,-$A290,0),rngColumnNames,0)),"")</f>
        <v>0</v>
      </c>
      <c r="F290" s="11">
        <f>IFERROR(INDEX(rngData,MATCH($B290,rngYear,0),MATCH(OFFSET(F290,-$A290,0),rngColumnNames,0)),"")</f>
        <v>0</v>
      </c>
      <c r="G290" s="11">
        <f t="shared" si="16"/>
        <v>0</v>
      </c>
    </row>
    <row r="291">
      <c r="A291" s="9">
        <f t="shared" si="17"/>
        <v>29</v>
      </c>
      <c r="B291" s="10">
        <f>IF(INDEX(rngYear,A291+1)&lt;&gt;0,INDEX(rngYear,A291+1),"")</f>
        <v>2008</v>
      </c>
      <c r="C291" s="11">
        <f>IFERROR(INDEX(rngData,MATCH($B291,rngYear,0),MATCH(OFFSET(C291,-$A291,0),rngColumnNames,0)),"")</f>
        <v>0</v>
      </c>
      <c r="D291" s="11">
        <f>IFERROR(INDEX(rngData,MATCH($B291,rngYear,0),MATCH(OFFSET(D291,-$A291,0),rngColumnNames,0)),"")</f>
        <v>0</v>
      </c>
      <c r="E291" s="11">
        <f>IFERROR(INDEX(rngData,MATCH($B291,rngYear,0),MATCH(OFFSET(E291,-$A291,0),rngColumnNames,0)),"")</f>
        <v>0</v>
      </c>
      <c r="F291" s="11">
        <f>IFERROR(INDEX(rngData,MATCH($B291,rngYear,0),MATCH(OFFSET(F291,-$A291,0),rngColumnNames,0)),"")</f>
        <v>0</v>
      </c>
      <c r="G291" s="11">
        <f t="shared" si="16"/>
        <v>0</v>
      </c>
    </row>
    <row r="292">
      <c r="A292" s="9">
        <f t="shared" si="17"/>
        <v>30</v>
      </c>
      <c r="B292" s="10">
        <f>IF(INDEX(rngYear,A292+1)&lt;&gt;0,INDEX(rngYear,A292+1),"")</f>
        <v>2009</v>
      </c>
      <c r="C292" s="11">
        <f>IFERROR(INDEX(rngData,MATCH($B292,rngYear,0),MATCH(OFFSET(C292,-$A292,0),rngColumnNames,0)),"")</f>
        <v>0</v>
      </c>
      <c r="D292" s="11">
        <f>IFERROR(INDEX(rngData,MATCH($B292,rngYear,0),MATCH(OFFSET(D292,-$A292,0),rngColumnNames,0)),"")</f>
        <v>0</v>
      </c>
      <c r="E292" s="11">
        <f>IFERROR(INDEX(rngData,MATCH($B292,rngYear,0),MATCH(OFFSET(E292,-$A292,0),rngColumnNames,0)),"")</f>
        <v>0</v>
      </c>
      <c r="F292" s="11">
        <f>IFERROR(INDEX(rngData,MATCH($B292,rngYear,0),MATCH(OFFSET(F292,-$A292,0),rngColumnNames,0)),"")</f>
        <v>0</v>
      </c>
      <c r="G292" s="11">
        <f t="shared" si="16"/>
        <v>0</v>
      </c>
    </row>
    <row r="293">
      <c r="A293" s="9">
        <f t="shared" si="17"/>
        <v>31</v>
      </c>
      <c r="B293" s="10">
        <f>IF(INDEX(rngYear,A293+1)&lt;&gt;0,INDEX(rngYear,A293+1),"")</f>
        <v>2010</v>
      </c>
      <c r="C293" s="11">
        <f>IFERROR(INDEX(rngData,MATCH($B293,rngYear,0),MATCH(OFFSET(C293,-$A293,0),rngColumnNames,0)),"")</f>
        <v>0</v>
      </c>
      <c r="D293" s="11">
        <f>IFERROR(INDEX(rngData,MATCH($B293,rngYear,0),MATCH(OFFSET(D293,-$A293,0),rngColumnNames,0)),"")</f>
        <v>0</v>
      </c>
      <c r="E293" s="11">
        <f>IFERROR(INDEX(rngData,MATCH($B293,rngYear,0),MATCH(OFFSET(E293,-$A293,0),rngColumnNames,0)),"")</f>
        <v>0</v>
      </c>
      <c r="F293" s="11">
        <f>IFERROR(INDEX(rngData,MATCH($B293,rngYear,0),MATCH(OFFSET(F293,-$A293,0),rngColumnNames,0)),"")</f>
        <v>0</v>
      </c>
      <c r="G293" s="11">
        <f t="shared" si="16"/>
        <v>0</v>
      </c>
    </row>
    <row r="294">
      <c r="A294" s="9">
        <f t="shared" si="17"/>
        <v>32</v>
      </c>
      <c r="B294" s="10">
        <f>IF(INDEX(rngYear,A294+1)&lt;&gt;0,INDEX(rngYear,A294+1),"")</f>
        <v>2011</v>
      </c>
      <c r="C294" s="11">
        <f>IFERROR(INDEX(rngData,MATCH($B294,rngYear,0),MATCH(OFFSET(C294,-$A294,0),rngColumnNames,0)),"")</f>
        <v>0</v>
      </c>
      <c r="D294" s="11">
        <f>IFERROR(INDEX(rngData,MATCH($B294,rngYear,0),MATCH(OFFSET(D294,-$A294,0),rngColumnNames,0)),"")</f>
        <v>0</v>
      </c>
      <c r="E294" s="11">
        <f>IFERROR(INDEX(rngData,MATCH($B294,rngYear,0),MATCH(OFFSET(E294,-$A294,0),rngColumnNames,0)),"")</f>
        <v>0</v>
      </c>
      <c r="F294" s="11">
        <f>IFERROR(INDEX(rngData,MATCH($B294,rngYear,0),MATCH(OFFSET(F294,-$A294,0),rngColumnNames,0)),"")</f>
        <v>0</v>
      </c>
      <c r="G294" s="11">
        <f t="shared" si="16"/>
        <v>0</v>
      </c>
    </row>
    <row r="295">
      <c r="A295" s="9">
        <f t="shared" si="17"/>
        <v>33</v>
      </c>
      <c r="B295" s="10">
        <f>IF(INDEX(rngYear,A295+1)&lt;&gt;0,INDEX(rngYear,A295+1),"")</f>
        <v>2012</v>
      </c>
      <c r="C295" s="11">
        <f>IFERROR(INDEX(rngData,MATCH($B295,rngYear,0),MATCH(OFFSET(C295,-$A295,0),rngColumnNames,0)),"")</f>
        <v>0</v>
      </c>
      <c r="D295" s="11">
        <f>IFERROR(INDEX(rngData,MATCH($B295,rngYear,0),MATCH(OFFSET(D295,-$A295,0),rngColumnNames,0)),"")</f>
        <v>0</v>
      </c>
      <c r="E295" s="11">
        <f>IFERROR(INDEX(rngData,MATCH($B295,rngYear,0),MATCH(OFFSET(E295,-$A295,0),rngColumnNames,0)),"")</f>
        <v>0</v>
      </c>
      <c r="F295" s="11">
        <f>IFERROR(INDEX(rngData,MATCH($B295,rngYear,0),MATCH(OFFSET(F295,-$A295,0),rngColumnNames,0)),"")</f>
        <v>0</v>
      </c>
      <c r="G295" s="11">
        <f ref="G295:G322" t="shared" si="18">IFERROR(F295-E295,"")</f>
        <v>0</v>
      </c>
    </row>
    <row r="296" hidden="1">
      <c r="A296" s="9">
        <f ref="A296:A322" t="shared" si="19">A295+1</f>
        <v>34</v>
      </c>
      <c r="B296" s="10">
        <f>IF(INDEX(rngYear,A296+1)&lt;&gt;0,INDEX(rngYear,A296+1),"")</f>
      </c>
      <c r="C296" s="11">
        <f>IFERROR(INDEX(rngData,MATCH($B296,rngYear,0),MATCH(OFFSET(C296,-$A296,0),rngColumnNames,0)),"")</f>
      </c>
      <c r="D296" s="11">
        <f>IFERROR(INDEX(rngData,MATCH($B296,rngYear,0),MATCH(OFFSET(D296,-$A296,0),rngColumnNames,0)),"")</f>
      </c>
      <c r="E296" s="11">
        <f>IFERROR(INDEX(rngData,MATCH($B296,rngYear,0),MATCH(OFFSET(E296,-$A296,0),rngColumnNames,0)),"")</f>
      </c>
      <c r="F296" s="11">
        <f>IFERROR(INDEX(rngData,MATCH($B296,rngYear,0),MATCH(OFFSET(F296,-$A296,0),rngColumnNames,0)),"")</f>
      </c>
      <c r="G296" s="11">
        <f t="shared" si="18"/>
      </c>
    </row>
    <row r="297" hidden="1">
      <c r="A297" s="9">
        <f t="shared" si="19"/>
        <v>35</v>
      </c>
      <c r="B297" s="10">
        <f>IF(INDEX(rngYear,A297+1)&lt;&gt;0,INDEX(rngYear,A297+1),"")</f>
      </c>
      <c r="C297" s="11">
        <f>IFERROR(INDEX(rngData,MATCH($B297,rngYear,0),MATCH(OFFSET(C297,-$A297,0),rngColumnNames,0)),"")</f>
      </c>
      <c r="D297" s="11">
        <f>IFERROR(INDEX(rngData,MATCH($B297,rngYear,0),MATCH(OFFSET(D297,-$A297,0),rngColumnNames,0)),"")</f>
      </c>
      <c r="E297" s="11">
        <f>IFERROR(INDEX(rngData,MATCH($B297,rngYear,0),MATCH(OFFSET(E297,-$A297,0),rngColumnNames,0)),"")</f>
      </c>
      <c r="F297" s="11">
        <f>IFERROR(INDEX(rngData,MATCH($B297,rngYear,0),MATCH(OFFSET(F297,-$A297,0),rngColumnNames,0)),"")</f>
      </c>
      <c r="G297" s="11">
        <f t="shared" si="18"/>
      </c>
    </row>
    <row r="298" hidden="1">
      <c r="A298" s="9">
        <f t="shared" si="19"/>
        <v>36</v>
      </c>
      <c r="B298" s="10">
        <f>IF(INDEX(rngYear,A298+1)&lt;&gt;0,INDEX(rngYear,A298+1),"")</f>
      </c>
      <c r="C298" s="11">
        <f>IFERROR(INDEX(rngData,MATCH($B298,rngYear,0),MATCH(OFFSET(C298,-$A298,0),rngColumnNames,0)),"")</f>
      </c>
      <c r="D298" s="11">
        <f>IFERROR(INDEX(rngData,MATCH($B298,rngYear,0),MATCH(OFFSET(D298,-$A298,0),rngColumnNames,0)),"")</f>
      </c>
      <c r="E298" s="11">
        <f>IFERROR(INDEX(rngData,MATCH($B298,rngYear,0),MATCH(OFFSET(E298,-$A298,0),rngColumnNames,0)),"")</f>
      </c>
      <c r="F298" s="11">
        <f>IFERROR(INDEX(rngData,MATCH($B298,rngYear,0),MATCH(OFFSET(F298,-$A298,0),rngColumnNames,0)),"")</f>
      </c>
      <c r="G298" s="11">
        <f t="shared" si="18"/>
      </c>
    </row>
    <row r="299" hidden="1">
      <c r="A299" s="9">
        <f t="shared" si="19"/>
        <v>37</v>
      </c>
      <c r="B299" s="10">
        <f>IF(INDEX(rngYear,A299+1)&lt;&gt;0,INDEX(rngYear,A299+1),"")</f>
      </c>
      <c r="C299" s="11">
        <f>IFERROR(INDEX(rngData,MATCH($B299,rngYear,0),MATCH(OFFSET(C299,-$A299,0),rngColumnNames,0)),"")</f>
      </c>
      <c r="D299" s="11">
        <f>IFERROR(INDEX(rngData,MATCH($B299,rngYear,0),MATCH(OFFSET(D299,-$A299,0),rngColumnNames,0)),"")</f>
      </c>
      <c r="E299" s="11">
        <f>IFERROR(INDEX(rngData,MATCH($B299,rngYear,0),MATCH(OFFSET(E299,-$A299,0),rngColumnNames,0)),"")</f>
      </c>
      <c r="F299" s="11">
        <f>IFERROR(INDEX(rngData,MATCH($B299,rngYear,0),MATCH(OFFSET(F299,-$A299,0),rngColumnNames,0)),"")</f>
      </c>
      <c r="G299" s="11">
        <f t="shared" si="18"/>
      </c>
    </row>
    <row r="300" hidden="1">
      <c r="A300" s="9">
        <f t="shared" si="19"/>
        <v>38</v>
      </c>
      <c r="B300" s="10">
        <f>IF(INDEX(rngYear,A300+1)&lt;&gt;0,INDEX(rngYear,A300+1),"")</f>
      </c>
      <c r="C300" s="11">
        <f>IFERROR(INDEX(rngData,MATCH($B300,rngYear,0),MATCH(OFFSET(C300,-$A300,0),rngColumnNames,0)),"")</f>
      </c>
      <c r="D300" s="11">
        <f>IFERROR(INDEX(rngData,MATCH($B300,rngYear,0),MATCH(OFFSET(D300,-$A300,0),rngColumnNames,0)),"")</f>
      </c>
      <c r="E300" s="11">
        <f>IFERROR(INDEX(rngData,MATCH($B300,rngYear,0),MATCH(OFFSET(E300,-$A300,0),rngColumnNames,0)),"")</f>
      </c>
      <c r="F300" s="11">
        <f>IFERROR(INDEX(rngData,MATCH($B300,rngYear,0),MATCH(OFFSET(F300,-$A300,0),rngColumnNames,0)),"")</f>
      </c>
      <c r="G300" s="11">
        <f t="shared" si="18"/>
      </c>
    </row>
    <row r="301" hidden="1">
      <c r="A301" s="9">
        <f t="shared" si="19"/>
        <v>39</v>
      </c>
      <c r="B301" s="10">
        <f>IF(INDEX(rngYear,A301+1)&lt;&gt;0,INDEX(rngYear,A301+1),"")</f>
      </c>
      <c r="C301" s="11">
        <f>IFERROR(INDEX(rngData,MATCH($B301,rngYear,0),MATCH(OFFSET(C301,-$A301,0),rngColumnNames,0)),"")</f>
      </c>
      <c r="D301" s="11">
        <f>IFERROR(INDEX(rngData,MATCH($B301,rngYear,0),MATCH(OFFSET(D301,-$A301,0),rngColumnNames,0)),"")</f>
      </c>
      <c r="E301" s="11">
        <f>IFERROR(INDEX(rngData,MATCH($B301,rngYear,0),MATCH(OFFSET(E301,-$A301,0),rngColumnNames,0)),"")</f>
      </c>
      <c r="F301" s="11">
        <f>IFERROR(INDEX(rngData,MATCH($B301,rngYear,0),MATCH(OFFSET(F301,-$A301,0),rngColumnNames,0)),"")</f>
      </c>
      <c r="G301" s="11">
        <f t="shared" si="18"/>
      </c>
    </row>
    <row r="302" hidden="1">
      <c r="A302" s="9">
        <f t="shared" si="19"/>
        <v>40</v>
      </c>
      <c r="B302" s="10">
        <f>IF(INDEX(rngYear,A302+1)&lt;&gt;0,INDEX(rngYear,A302+1),"")</f>
      </c>
      <c r="C302" s="11">
        <f>IFERROR(INDEX(rngData,MATCH($B302,rngYear,0),MATCH(OFFSET(C302,-$A302,0),rngColumnNames,0)),"")</f>
      </c>
      <c r="D302" s="11">
        <f>IFERROR(INDEX(rngData,MATCH($B302,rngYear,0),MATCH(OFFSET(D302,-$A302,0),rngColumnNames,0)),"")</f>
      </c>
      <c r="E302" s="11">
        <f>IFERROR(INDEX(rngData,MATCH($B302,rngYear,0),MATCH(OFFSET(E302,-$A302,0),rngColumnNames,0)),"")</f>
      </c>
      <c r="F302" s="11">
        <f>IFERROR(INDEX(rngData,MATCH($B302,rngYear,0),MATCH(OFFSET(F302,-$A302,0),rngColumnNames,0)),"")</f>
      </c>
      <c r="G302" s="11">
        <f t="shared" si="18"/>
      </c>
    </row>
    <row r="303" hidden="1">
      <c r="A303" s="9">
        <f t="shared" si="19"/>
        <v>41</v>
      </c>
      <c r="B303" s="10">
        <f>IF(INDEX(rngYear,A303+1)&lt;&gt;0,INDEX(rngYear,A303+1),"")</f>
      </c>
      <c r="C303" s="11">
        <f>IFERROR(INDEX(rngData,MATCH($B303,rngYear,0),MATCH(OFFSET(C303,-$A303,0),rngColumnNames,0)),"")</f>
      </c>
      <c r="D303" s="11">
        <f>IFERROR(INDEX(rngData,MATCH($B303,rngYear,0),MATCH(OFFSET(D303,-$A303,0),rngColumnNames,0)),"")</f>
      </c>
      <c r="E303" s="11">
        <f>IFERROR(INDEX(rngData,MATCH($B303,rngYear,0),MATCH(OFFSET(E303,-$A303,0),rngColumnNames,0)),"")</f>
      </c>
      <c r="F303" s="11">
        <f>IFERROR(INDEX(rngData,MATCH($B303,rngYear,0),MATCH(OFFSET(F303,-$A303,0),rngColumnNames,0)),"")</f>
      </c>
      <c r="G303" s="11">
        <f t="shared" si="18"/>
      </c>
    </row>
    <row r="304" hidden="1">
      <c r="A304" s="9">
        <f t="shared" si="19"/>
        <v>42</v>
      </c>
      <c r="B304" s="10">
        <f>IF(INDEX(rngYear,A304+1)&lt;&gt;0,INDEX(rngYear,A304+1),"")</f>
      </c>
      <c r="C304" s="11">
        <f>IFERROR(INDEX(rngData,MATCH($B304,rngYear,0),MATCH(OFFSET(C304,-$A304,0),rngColumnNames,0)),"")</f>
      </c>
      <c r="D304" s="11">
        <f>IFERROR(INDEX(rngData,MATCH($B304,rngYear,0),MATCH(OFFSET(D304,-$A304,0),rngColumnNames,0)),"")</f>
      </c>
      <c r="E304" s="11">
        <f>IFERROR(INDEX(rngData,MATCH($B304,rngYear,0),MATCH(OFFSET(E304,-$A304,0),rngColumnNames,0)),"")</f>
      </c>
      <c r="F304" s="11">
        <f>IFERROR(INDEX(rngData,MATCH($B304,rngYear,0),MATCH(OFFSET(F304,-$A304,0),rngColumnNames,0)),"")</f>
      </c>
      <c r="G304" s="11">
        <f t="shared" si="18"/>
      </c>
    </row>
    <row r="305" hidden="1">
      <c r="A305" s="9">
        <f t="shared" si="19"/>
        <v>43</v>
      </c>
      <c r="B305" s="10">
        <f>IF(INDEX(rngYear,A305+1)&lt;&gt;0,INDEX(rngYear,A305+1),"")</f>
      </c>
      <c r="C305" s="11">
        <f>IFERROR(INDEX(rngData,MATCH($B305,rngYear,0),MATCH(OFFSET(C305,-$A305,0),rngColumnNames,0)),"")</f>
      </c>
      <c r="D305" s="11">
        <f>IFERROR(INDEX(rngData,MATCH($B305,rngYear,0),MATCH(OFFSET(D305,-$A305,0),rngColumnNames,0)),"")</f>
      </c>
      <c r="E305" s="11">
        <f>IFERROR(INDEX(rngData,MATCH($B305,rngYear,0),MATCH(OFFSET(E305,-$A305,0),rngColumnNames,0)),"")</f>
      </c>
      <c r="F305" s="11">
        <f>IFERROR(INDEX(rngData,MATCH($B305,rngYear,0),MATCH(OFFSET(F305,-$A305,0),rngColumnNames,0)),"")</f>
      </c>
      <c r="G305" s="11">
        <f t="shared" si="18"/>
      </c>
    </row>
    <row r="306" hidden="1">
      <c r="A306" s="9">
        <f t="shared" si="19"/>
        <v>44</v>
      </c>
      <c r="B306" s="10">
        <f>IF(INDEX(rngYear,A306+1)&lt;&gt;0,INDEX(rngYear,A306+1),"")</f>
      </c>
      <c r="C306" s="11">
        <f>IFERROR(INDEX(rngData,MATCH($B306,rngYear,0),MATCH(OFFSET(C306,-$A306,0),rngColumnNames,0)),"")</f>
      </c>
      <c r="D306" s="11">
        <f>IFERROR(INDEX(rngData,MATCH($B306,rngYear,0),MATCH(OFFSET(D306,-$A306,0),rngColumnNames,0)),"")</f>
      </c>
      <c r="E306" s="11">
        <f>IFERROR(INDEX(rngData,MATCH($B306,rngYear,0),MATCH(OFFSET(E306,-$A306,0),rngColumnNames,0)),"")</f>
      </c>
      <c r="F306" s="11">
        <f>IFERROR(INDEX(rngData,MATCH($B306,rngYear,0),MATCH(OFFSET(F306,-$A306,0),rngColumnNames,0)),"")</f>
      </c>
      <c r="G306" s="11">
        <f t="shared" si="18"/>
      </c>
    </row>
    <row r="307" hidden="1">
      <c r="A307" s="9">
        <f t="shared" si="19"/>
        <v>45</v>
      </c>
      <c r="B307" s="10">
        <f>IF(INDEX(rngYear,A307+1)&lt;&gt;0,INDEX(rngYear,A307+1),"")</f>
      </c>
      <c r="C307" s="11">
        <f>IFERROR(INDEX(rngData,MATCH($B307,rngYear,0),MATCH(OFFSET(C307,-$A307,0),rngColumnNames,0)),"")</f>
      </c>
      <c r="D307" s="11">
        <f>IFERROR(INDEX(rngData,MATCH($B307,rngYear,0),MATCH(OFFSET(D307,-$A307,0),rngColumnNames,0)),"")</f>
      </c>
      <c r="E307" s="11">
        <f>IFERROR(INDEX(rngData,MATCH($B307,rngYear,0),MATCH(OFFSET(E307,-$A307,0),rngColumnNames,0)),"")</f>
      </c>
      <c r="F307" s="11">
        <f>IFERROR(INDEX(rngData,MATCH($B307,rngYear,0),MATCH(OFFSET(F307,-$A307,0),rngColumnNames,0)),"")</f>
      </c>
      <c r="G307" s="11">
        <f t="shared" si="18"/>
      </c>
    </row>
    <row r="308" hidden="1">
      <c r="A308" s="9">
        <f t="shared" si="19"/>
        <v>46</v>
      </c>
      <c r="B308" s="10">
        <f>IF(INDEX(rngYear,A308+1)&lt;&gt;0,INDEX(rngYear,A308+1),"")</f>
      </c>
      <c r="C308" s="11">
        <f>IFERROR(INDEX(rngData,MATCH($B308,rngYear,0),MATCH(OFFSET(C308,-$A308,0),rngColumnNames,0)),"")</f>
      </c>
      <c r="D308" s="11">
        <f>IFERROR(INDEX(rngData,MATCH($B308,rngYear,0),MATCH(OFFSET(D308,-$A308,0),rngColumnNames,0)),"")</f>
      </c>
      <c r="E308" s="11">
        <f>IFERROR(INDEX(rngData,MATCH($B308,rngYear,0),MATCH(OFFSET(E308,-$A308,0),rngColumnNames,0)),"")</f>
      </c>
      <c r="F308" s="11">
        <f>IFERROR(INDEX(rngData,MATCH($B308,rngYear,0),MATCH(OFFSET(F308,-$A308,0),rngColumnNames,0)),"")</f>
      </c>
      <c r="G308" s="11">
        <f t="shared" si="18"/>
      </c>
    </row>
    <row r="309" hidden="1">
      <c r="A309" s="9">
        <f t="shared" si="19"/>
        <v>47</v>
      </c>
      <c r="B309" s="10">
        <f>IF(INDEX(rngYear,A309+1)&lt;&gt;0,INDEX(rngYear,A309+1),"")</f>
      </c>
      <c r="C309" s="11">
        <f>IFERROR(INDEX(rngData,MATCH($B309,rngYear,0),MATCH(OFFSET(C309,-$A309,0),rngColumnNames,0)),"")</f>
      </c>
      <c r="D309" s="11">
        <f>IFERROR(INDEX(rngData,MATCH($B309,rngYear,0),MATCH(OFFSET(D309,-$A309,0),rngColumnNames,0)),"")</f>
      </c>
      <c r="E309" s="11">
        <f>IFERROR(INDEX(rngData,MATCH($B309,rngYear,0),MATCH(OFFSET(E309,-$A309,0),rngColumnNames,0)),"")</f>
      </c>
      <c r="F309" s="11">
        <f>IFERROR(INDEX(rngData,MATCH($B309,rngYear,0),MATCH(OFFSET(F309,-$A309,0),rngColumnNames,0)),"")</f>
      </c>
      <c r="G309" s="11">
        <f t="shared" si="18"/>
      </c>
    </row>
    <row r="310" hidden="1">
      <c r="A310" s="9">
        <f t="shared" si="19"/>
        <v>48</v>
      </c>
      <c r="B310" s="10">
        <f>IF(INDEX(rngYear,A310+1)&lt;&gt;0,INDEX(rngYear,A310+1),"")</f>
      </c>
      <c r="C310" s="11">
        <f>IFERROR(INDEX(rngData,MATCH($B310,rngYear,0),MATCH(OFFSET(C310,-$A310,0),rngColumnNames,0)),"")</f>
      </c>
      <c r="D310" s="11">
        <f>IFERROR(INDEX(rngData,MATCH($B310,rngYear,0),MATCH(OFFSET(D310,-$A310,0),rngColumnNames,0)),"")</f>
      </c>
      <c r="E310" s="11">
        <f>IFERROR(INDEX(rngData,MATCH($B310,rngYear,0),MATCH(OFFSET(E310,-$A310,0),rngColumnNames,0)),"")</f>
      </c>
      <c r="F310" s="11">
        <f>IFERROR(INDEX(rngData,MATCH($B310,rngYear,0),MATCH(OFFSET(F310,-$A310,0),rngColumnNames,0)),"")</f>
      </c>
      <c r="G310" s="11">
        <f t="shared" si="18"/>
      </c>
    </row>
    <row r="311" hidden="1">
      <c r="A311" s="9">
        <f t="shared" si="19"/>
        <v>49</v>
      </c>
      <c r="B311" s="10">
        <f>IF(INDEX(rngYear,A311+1)&lt;&gt;0,INDEX(rngYear,A311+1),"")</f>
      </c>
      <c r="C311" s="11">
        <f>IFERROR(INDEX(rngData,MATCH($B311,rngYear,0),MATCH(OFFSET(C311,-$A311,0),rngColumnNames,0)),"")</f>
      </c>
      <c r="D311" s="11">
        <f>IFERROR(INDEX(rngData,MATCH($B311,rngYear,0),MATCH(OFFSET(D311,-$A311,0),rngColumnNames,0)),"")</f>
      </c>
      <c r="E311" s="11">
        <f>IFERROR(INDEX(rngData,MATCH($B311,rngYear,0),MATCH(OFFSET(E311,-$A311,0),rngColumnNames,0)),"")</f>
      </c>
      <c r="F311" s="11">
        <f>IFERROR(INDEX(rngData,MATCH($B311,rngYear,0),MATCH(OFFSET(F311,-$A311,0),rngColumnNames,0)),"")</f>
      </c>
      <c r="G311" s="11">
        <f t="shared" si="18"/>
      </c>
    </row>
    <row r="312" hidden="1">
      <c r="A312" s="9">
        <f t="shared" si="19"/>
        <v>50</v>
      </c>
      <c r="B312" s="10">
        <f>IF(INDEX(rngYear,A312+1)&lt;&gt;0,INDEX(rngYear,A312+1),"")</f>
      </c>
      <c r="C312" s="11">
        <f>IFERROR(INDEX(rngData,MATCH($B312,rngYear,0),MATCH(OFFSET(C312,-$A312,0),rngColumnNames,0)),"")</f>
      </c>
      <c r="D312" s="11">
        <f>IFERROR(INDEX(rngData,MATCH($B312,rngYear,0),MATCH(OFFSET(D312,-$A312,0),rngColumnNames,0)),"")</f>
      </c>
      <c r="E312" s="11">
        <f>IFERROR(INDEX(rngData,MATCH($B312,rngYear,0),MATCH(OFFSET(E312,-$A312,0),rngColumnNames,0)),"")</f>
      </c>
      <c r="F312" s="11">
        <f>IFERROR(INDEX(rngData,MATCH($B312,rngYear,0),MATCH(OFFSET(F312,-$A312,0),rngColumnNames,0)),"")</f>
      </c>
      <c r="G312" s="11">
        <f t="shared" si="18"/>
      </c>
    </row>
    <row r="313" hidden="1">
      <c r="A313" s="9">
        <f t="shared" si="19"/>
        <v>51</v>
      </c>
      <c r="B313" s="10">
        <f>IF(INDEX(rngYear,A313+1)&lt;&gt;0,INDEX(rngYear,A313+1),"")</f>
      </c>
      <c r="C313" s="11">
        <f>IFERROR(INDEX(rngData,MATCH($B313,rngYear,0),MATCH(OFFSET(C313,-$A313,0),rngColumnNames,0)),"")</f>
      </c>
      <c r="D313" s="11">
        <f>IFERROR(INDEX(rngData,MATCH($B313,rngYear,0),MATCH(OFFSET(D313,-$A313,0),rngColumnNames,0)),"")</f>
      </c>
      <c r="E313" s="11">
        <f>IFERROR(INDEX(rngData,MATCH($B313,rngYear,0),MATCH(OFFSET(E313,-$A313,0),rngColumnNames,0)),"")</f>
      </c>
      <c r="F313" s="11">
        <f>IFERROR(INDEX(rngData,MATCH($B313,rngYear,0),MATCH(OFFSET(F313,-$A313,0),rngColumnNames,0)),"")</f>
      </c>
      <c r="G313" s="11">
        <f t="shared" si="18"/>
      </c>
    </row>
    <row r="314" hidden="1">
      <c r="A314" s="9">
        <f t="shared" si="19"/>
        <v>52</v>
      </c>
      <c r="B314" s="10">
        <f>IF(INDEX(rngYear,A314+1)&lt;&gt;0,INDEX(rngYear,A314+1),"")</f>
      </c>
      <c r="C314" s="11">
        <f>IFERROR(INDEX(rngData,MATCH($B314,rngYear,0),MATCH(OFFSET(C314,-$A314,0),rngColumnNames,0)),"")</f>
      </c>
      <c r="D314" s="11">
        <f>IFERROR(INDEX(rngData,MATCH($B314,rngYear,0),MATCH(OFFSET(D314,-$A314,0),rngColumnNames,0)),"")</f>
      </c>
      <c r="E314" s="11">
        <f>IFERROR(INDEX(rngData,MATCH($B314,rngYear,0),MATCH(OFFSET(E314,-$A314,0),rngColumnNames,0)),"")</f>
      </c>
      <c r="F314" s="11">
        <f>IFERROR(INDEX(rngData,MATCH($B314,rngYear,0),MATCH(OFFSET(F314,-$A314,0),rngColumnNames,0)),"")</f>
      </c>
      <c r="G314" s="11">
        <f t="shared" si="18"/>
      </c>
    </row>
    <row r="315" hidden="1">
      <c r="A315" s="9">
        <f t="shared" si="19"/>
        <v>53</v>
      </c>
      <c r="B315" s="10">
        <f>IF(INDEX(rngYear,A315+1)&lt;&gt;0,INDEX(rngYear,A315+1),"")</f>
      </c>
      <c r="C315" s="11">
        <f>IFERROR(INDEX(rngData,MATCH($B315,rngYear,0),MATCH(OFFSET(C315,-$A315,0),rngColumnNames,0)),"")</f>
      </c>
      <c r="D315" s="11">
        <f>IFERROR(INDEX(rngData,MATCH($B315,rngYear,0),MATCH(OFFSET(D315,-$A315,0),rngColumnNames,0)),"")</f>
      </c>
      <c r="E315" s="11">
        <f>IFERROR(INDEX(rngData,MATCH($B315,rngYear,0),MATCH(OFFSET(E315,-$A315,0),rngColumnNames,0)),"")</f>
      </c>
      <c r="F315" s="11">
        <f>IFERROR(INDEX(rngData,MATCH($B315,rngYear,0),MATCH(OFFSET(F315,-$A315,0),rngColumnNames,0)),"")</f>
      </c>
      <c r="G315" s="11">
        <f t="shared" si="18"/>
      </c>
    </row>
    <row r="316" hidden="1">
      <c r="A316" s="9">
        <f t="shared" si="19"/>
        <v>54</v>
      </c>
      <c r="B316" s="10">
        <f>IF(INDEX(rngYear,A316+1)&lt;&gt;0,INDEX(rngYear,A316+1),"")</f>
      </c>
      <c r="C316" s="11">
        <f>IFERROR(INDEX(rngData,MATCH($B316,rngYear,0),MATCH(OFFSET(C316,-$A316,0),rngColumnNames,0)),"")</f>
      </c>
      <c r="D316" s="11">
        <f>IFERROR(INDEX(rngData,MATCH($B316,rngYear,0),MATCH(OFFSET(D316,-$A316,0),rngColumnNames,0)),"")</f>
      </c>
      <c r="E316" s="11">
        <f>IFERROR(INDEX(rngData,MATCH($B316,rngYear,0),MATCH(OFFSET(E316,-$A316,0),rngColumnNames,0)),"")</f>
      </c>
      <c r="F316" s="11">
        <f>IFERROR(INDEX(rngData,MATCH($B316,rngYear,0),MATCH(OFFSET(F316,-$A316,0),rngColumnNames,0)),"")</f>
      </c>
      <c r="G316" s="11">
        <f t="shared" si="18"/>
      </c>
    </row>
    <row r="317" hidden="1">
      <c r="A317" s="9">
        <f t="shared" si="19"/>
        <v>55</v>
      </c>
      <c r="B317" s="10">
        <f>IF(INDEX(rngYear,A317+1)&lt;&gt;0,INDEX(rngYear,A317+1),"")</f>
      </c>
      <c r="C317" s="11">
        <f>IFERROR(INDEX(rngData,MATCH($B317,rngYear,0),MATCH(OFFSET(C317,-$A317,0),rngColumnNames,0)),"")</f>
      </c>
      <c r="D317" s="11">
        <f>IFERROR(INDEX(rngData,MATCH($B317,rngYear,0),MATCH(OFFSET(D317,-$A317,0),rngColumnNames,0)),"")</f>
      </c>
      <c r="E317" s="11">
        <f>IFERROR(INDEX(rngData,MATCH($B317,rngYear,0),MATCH(OFFSET(E317,-$A317,0),rngColumnNames,0)),"")</f>
      </c>
      <c r="F317" s="11">
        <f>IFERROR(INDEX(rngData,MATCH($B317,rngYear,0),MATCH(OFFSET(F317,-$A317,0),rngColumnNames,0)),"")</f>
      </c>
      <c r="G317" s="11">
        <f t="shared" si="18"/>
      </c>
    </row>
    <row r="318" hidden="1">
      <c r="A318" s="9">
        <f t="shared" si="19"/>
        <v>56</v>
      </c>
      <c r="B318" s="10">
        <f>IF(INDEX(rngYear,A318+1)&lt;&gt;0,INDEX(rngYear,A318+1),"")</f>
      </c>
      <c r="C318" s="11">
        <f>IFERROR(INDEX(rngData,MATCH($B318,rngYear,0),MATCH(OFFSET(C318,-$A318,0),rngColumnNames,0)),"")</f>
      </c>
      <c r="D318" s="11">
        <f>IFERROR(INDEX(rngData,MATCH($B318,rngYear,0),MATCH(OFFSET(D318,-$A318,0),rngColumnNames,0)),"")</f>
      </c>
      <c r="E318" s="11">
        <f>IFERROR(INDEX(rngData,MATCH($B318,rngYear,0),MATCH(OFFSET(E318,-$A318,0),rngColumnNames,0)),"")</f>
      </c>
      <c r="F318" s="11">
        <f>IFERROR(INDEX(rngData,MATCH($B318,rngYear,0),MATCH(OFFSET(F318,-$A318,0),rngColumnNames,0)),"")</f>
      </c>
      <c r="G318" s="11">
        <f t="shared" si="18"/>
      </c>
    </row>
    <row r="319" hidden="1">
      <c r="A319" s="9">
        <f t="shared" si="19"/>
        <v>57</v>
      </c>
      <c r="B319" s="10">
        <f>IF(INDEX(rngYear,A319+1)&lt;&gt;0,INDEX(rngYear,A319+1),"")</f>
      </c>
      <c r="C319" s="11">
        <f>IFERROR(INDEX(rngData,MATCH($B319,rngYear,0),MATCH(OFFSET(C319,-$A319,0),rngColumnNames,0)),"")</f>
      </c>
      <c r="D319" s="11">
        <f>IFERROR(INDEX(rngData,MATCH($B319,rngYear,0),MATCH(OFFSET(D319,-$A319,0),rngColumnNames,0)),"")</f>
      </c>
      <c r="E319" s="11">
        <f>IFERROR(INDEX(rngData,MATCH($B319,rngYear,0),MATCH(OFFSET(E319,-$A319,0),rngColumnNames,0)),"")</f>
      </c>
      <c r="F319" s="11">
        <f>IFERROR(INDEX(rngData,MATCH($B319,rngYear,0),MATCH(OFFSET(F319,-$A319,0),rngColumnNames,0)),"")</f>
      </c>
      <c r="G319" s="11">
        <f t="shared" si="18"/>
      </c>
    </row>
    <row r="320" hidden="1">
      <c r="A320" s="9">
        <f t="shared" si="19"/>
        <v>58</v>
      </c>
      <c r="B320" s="10">
        <f>IF(INDEX(rngYear,A320+1)&lt;&gt;0,INDEX(rngYear,A320+1),"")</f>
      </c>
      <c r="C320" s="11">
        <f>IFERROR(INDEX(rngData,MATCH($B320,rngYear,0),MATCH(OFFSET(C320,-$A320,0),rngColumnNames,0)),"")</f>
      </c>
      <c r="D320" s="11">
        <f>IFERROR(INDEX(rngData,MATCH($B320,rngYear,0),MATCH(OFFSET(D320,-$A320,0),rngColumnNames,0)),"")</f>
      </c>
      <c r="E320" s="11">
        <f>IFERROR(INDEX(rngData,MATCH($B320,rngYear,0),MATCH(OFFSET(E320,-$A320,0),rngColumnNames,0)),"")</f>
      </c>
      <c r="F320" s="11">
        <f>IFERROR(INDEX(rngData,MATCH($B320,rngYear,0),MATCH(OFFSET(F320,-$A320,0),rngColumnNames,0)),"")</f>
      </c>
      <c r="G320" s="11">
        <f t="shared" si="18"/>
      </c>
    </row>
    <row r="321" hidden="1">
      <c r="A321" s="9">
        <f t="shared" si="19"/>
        <v>59</v>
      </c>
      <c r="B321" s="10">
        <f>IF(INDEX(rngYear,A321+1)&lt;&gt;0,INDEX(rngYear,A321+1),"")</f>
      </c>
      <c r="C321" s="11">
        <f>IFERROR(INDEX(rngData,MATCH($B321,rngYear,0),MATCH(OFFSET(C321,-$A321,0),rngColumnNames,0)),"")</f>
      </c>
      <c r="D321" s="11">
        <f>IFERROR(INDEX(rngData,MATCH($B321,rngYear,0),MATCH(OFFSET(D321,-$A321,0),rngColumnNames,0)),"")</f>
      </c>
      <c r="E321" s="11">
        <f>IFERROR(INDEX(rngData,MATCH($B321,rngYear,0),MATCH(OFFSET(E321,-$A321,0),rngColumnNames,0)),"")</f>
      </c>
      <c r="F321" s="11">
        <f>IFERROR(INDEX(rngData,MATCH($B321,rngYear,0),MATCH(OFFSET(F321,-$A321,0),rngColumnNames,0)),"")</f>
      </c>
      <c r="G321" s="11">
        <f t="shared" si="18"/>
      </c>
    </row>
    <row r="322" hidden="1">
      <c r="A322" s="9">
        <f t="shared" si="19"/>
        <v>60</v>
      </c>
      <c r="B322" s="10">
        <f>IF(INDEX(rngYear,A322+1)&lt;&gt;0,INDEX(rngYear,A322+1),"")</f>
      </c>
      <c r="C322" s="11">
        <f>IFERROR(INDEX(rngData,MATCH($B322,rngYear,0),MATCH(OFFSET(C322,-$A322,0),rngColumnNames,0)),"")</f>
      </c>
      <c r="D322" s="11">
        <f>IFERROR(INDEX(rngData,MATCH($B322,rngYear,0),MATCH(OFFSET(D322,-$A322,0),rngColumnNames,0)),"")</f>
      </c>
      <c r="E322" s="11">
        <f>IFERROR(INDEX(rngData,MATCH($B322,rngYear,0),MATCH(OFFSET(E322,-$A322,0),rngColumnNames,0)),"")</f>
      </c>
      <c r="F322" s="11">
        <f>IFERROR(INDEX(rngData,MATCH($B322,rngYear,0),MATCH(OFFSET(F322,-$A322,0),rngColumnNames,0)),"")</f>
      </c>
      <c r="G322" s="11">
        <f t="shared" si="18"/>
      </c>
    </row>
    <row r="324" ht="19.5" customHeight="1">
      <c r="A324" s="16" t="s">
        <v>100</v>
      </c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</row>
    <row r="325" ht="15" customHeight="1">
      <c r="B325" s="4"/>
      <c r="C325" s="5" t="s">
        <v>95</v>
      </c>
      <c r="D325" s="5" t="s">
        <v>81</v>
      </c>
      <c r="E325" s="17" t="s">
        <v>82</v>
      </c>
      <c r="F325" s="18"/>
      <c r="G325" s="19"/>
    </row>
    <row r="326" ht="22.5" customHeight="1">
      <c r="A326" s="6" t="s">
        <v>83</v>
      </c>
      <c r="B326" s="7" t="s">
        <v>4</v>
      </c>
      <c r="C326" s="7" t="s">
        <v>17</v>
      </c>
      <c r="D326" s="7" t="s">
        <v>18</v>
      </c>
      <c r="E326" s="7" t="s">
        <v>44</v>
      </c>
      <c r="F326" s="7" t="s">
        <v>45</v>
      </c>
      <c r="G326" s="8" t="s">
        <v>82</v>
      </c>
    </row>
    <row r="327">
      <c r="A327" s="9">
        <v>1</v>
      </c>
      <c r="B327" s="10">
        <f>IF(INDEX(rngYear,A327+1)&lt;&gt;0,INDEX(rngYear,A327+1),"")</f>
        <v>1980</v>
      </c>
      <c r="C327" s="11">
        <f>IFERROR(INDEX(rngData,MATCH($B327,rngYear,0),MATCH(OFFSET(C327,-$A327,0),rngColumnNames,0)),"")</f>
        <v>0</v>
      </c>
      <c r="D327" s="11">
        <f>IFERROR(INDEX(rngData,MATCH($B327,rngYear,0),MATCH(OFFSET(D327,-$A327,0),rngColumnNames,0)),"")</f>
        <v>0</v>
      </c>
      <c r="E327" s="11">
        <f>IFERROR(INDEX(rngData,MATCH($B327,rngYear,0),MATCH(OFFSET(E327,-$A327,0),rngColumnNames,0)),"")</f>
        <v>0</v>
      </c>
      <c r="F327" s="11">
        <f>IFERROR(INDEX(rngData,MATCH($B327,rngYear,0),MATCH(OFFSET(F327,-$A327,0),rngColumnNames,0)),"")</f>
        <v>0</v>
      </c>
      <c r="G327" s="11">
        <f ref="G327:G358" t="shared" si="20">IFERROR(F327-E327,"")</f>
        <v>0</v>
      </c>
    </row>
    <row r="328">
      <c r="A328" s="9">
        <f ref="A328:A359" t="shared" si="21">A327+1</f>
        <v>2</v>
      </c>
      <c r="B328" s="10">
        <f>IF(INDEX(rngYear,A328+1)&lt;&gt;0,INDEX(rngYear,A328+1),"")</f>
        <v>1981</v>
      </c>
      <c r="C328" s="11">
        <f>IFERROR(INDEX(rngData,MATCH($B328,rngYear,0),MATCH(OFFSET(C328,-$A328,0),rngColumnNames,0)),"")</f>
        <v>0</v>
      </c>
      <c r="D328" s="11">
        <f>IFERROR(INDEX(rngData,MATCH($B328,rngYear,0),MATCH(OFFSET(D328,-$A328,0),rngColumnNames,0)),"")</f>
        <v>0</v>
      </c>
      <c r="E328" s="11">
        <f>IFERROR(INDEX(rngData,MATCH($B328,rngYear,0),MATCH(OFFSET(E328,-$A328,0),rngColumnNames,0)),"")</f>
        <v>0</v>
      </c>
      <c r="F328" s="11">
        <f>IFERROR(INDEX(rngData,MATCH($B328,rngYear,0),MATCH(OFFSET(F328,-$A328,0),rngColumnNames,0)),"")</f>
        <v>0</v>
      </c>
      <c r="G328" s="11">
        <f t="shared" si="20"/>
        <v>0</v>
      </c>
    </row>
    <row r="329">
      <c r="A329" s="9">
        <f t="shared" si="21"/>
        <v>3</v>
      </c>
      <c r="B329" s="10">
        <f>IF(INDEX(rngYear,A329+1)&lt;&gt;0,INDEX(rngYear,A329+1),"")</f>
        <v>1982</v>
      </c>
      <c r="C329" s="11">
        <f>IFERROR(INDEX(rngData,MATCH($B329,rngYear,0),MATCH(OFFSET(C329,-$A329,0),rngColumnNames,0)),"")</f>
        <v>0</v>
      </c>
      <c r="D329" s="11">
        <f>IFERROR(INDEX(rngData,MATCH($B329,rngYear,0),MATCH(OFFSET(D329,-$A329,0),rngColumnNames,0)),"")</f>
        <v>0</v>
      </c>
      <c r="E329" s="11">
        <f>IFERROR(INDEX(rngData,MATCH($B329,rngYear,0),MATCH(OFFSET(E329,-$A329,0),rngColumnNames,0)),"")</f>
        <v>0</v>
      </c>
      <c r="F329" s="11">
        <f>IFERROR(INDEX(rngData,MATCH($B329,rngYear,0),MATCH(OFFSET(F329,-$A329,0),rngColumnNames,0)),"")</f>
        <v>0</v>
      </c>
      <c r="G329" s="11">
        <f t="shared" si="20"/>
        <v>0</v>
      </c>
    </row>
    <row r="330">
      <c r="A330" s="9">
        <f t="shared" si="21"/>
        <v>4</v>
      </c>
      <c r="B330" s="10">
        <f>IF(INDEX(rngYear,A330+1)&lt;&gt;0,INDEX(rngYear,A330+1),"")</f>
        <v>1983</v>
      </c>
      <c r="C330" s="11">
        <f>IFERROR(INDEX(rngData,MATCH($B330,rngYear,0),MATCH(OFFSET(C330,-$A330,0),rngColumnNames,0)),"")</f>
        <v>0</v>
      </c>
      <c r="D330" s="11">
        <f>IFERROR(INDEX(rngData,MATCH($B330,rngYear,0),MATCH(OFFSET(D330,-$A330,0),rngColumnNames,0)),"")</f>
        <v>0</v>
      </c>
      <c r="E330" s="11">
        <f>IFERROR(INDEX(rngData,MATCH($B330,rngYear,0),MATCH(OFFSET(E330,-$A330,0),rngColumnNames,0)),"")</f>
        <v>0</v>
      </c>
      <c r="F330" s="11">
        <f>IFERROR(INDEX(rngData,MATCH($B330,rngYear,0),MATCH(OFFSET(F330,-$A330,0),rngColumnNames,0)),"")</f>
        <v>0</v>
      </c>
      <c r="G330" s="11">
        <f t="shared" si="20"/>
        <v>0</v>
      </c>
    </row>
    <row r="331">
      <c r="A331" s="9">
        <f t="shared" si="21"/>
        <v>5</v>
      </c>
      <c r="B331" s="10">
        <f>IF(INDEX(rngYear,A331+1)&lt;&gt;0,INDEX(rngYear,A331+1),"")</f>
        <v>1984</v>
      </c>
      <c r="C331" s="11">
        <f>IFERROR(INDEX(rngData,MATCH($B331,rngYear,0),MATCH(OFFSET(C331,-$A331,0),rngColumnNames,0)),"")</f>
        <v>0</v>
      </c>
      <c r="D331" s="11">
        <f>IFERROR(INDEX(rngData,MATCH($B331,rngYear,0),MATCH(OFFSET(D331,-$A331,0),rngColumnNames,0)),"")</f>
        <v>0</v>
      </c>
      <c r="E331" s="11">
        <f>IFERROR(INDEX(rngData,MATCH($B331,rngYear,0),MATCH(OFFSET(E331,-$A331,0),rngColumnNames,0)),"")</f>
        <v>0</v>
      </c>
      <c r="F331" s="11">
        <f>IFERROR(INDEX(rngData,MATCH($B331,rngYear,0),MATCH(OFFSET(F331,-$A331,0),rngColumnNames,0)),"")</f>
        <v>0</v>
      </c>
      <c r="G331" s="11">
        <f t="shared" si="20"/>
        <v>0</v>
      </c>
    </row>
    <row r="332">
      <c r="A332" s="9">
        <f t="shared" si="21"/>
        <v>6</v>
      </c>
      <c r="B332" s="10">
        <f>IF(INDEX(rngYear,A332+1)&lt;&gt;0,INDEX(rngYear,A332+1),"")</f>
        <v>1985</v>
      </c>
      <c r="C332" s="11">
        <f>IFERROR(INDEX(rngData,MATCH($B332,rngYear,0),MATCH(OFFSET(C332,-$A332,0),rngColumnNames,0)),"")</f>
        <v>0</v>
      </c>
      <c r="D332" s="11">
        <f>IFERROR(INDEX(rngData,MATCH($B332,rngYear,0),MATCH(OFFSET(D332,-$A332,0),rngColumnNames,0)),"")</f>
        <v>0</v>
      </c>
      <c r="E332" s="11">
        <f>IFERROR(INDEX(rngData,MATCH($B332,rngYear,0),MATCH(OFFSET(E332,-$A332,0),rngColumnNames,0)),"")</f>
        <v>0</v>
      </c>
      <c r="F332" s="11">
        <f>IFERROR(INDEX(rngData,MATCH($B332,rngYear,0),MATCH(OFFSET(F332,-$A332,0),rngColumnNames,0)),"")</f>
        <v>0</v>
      </c>
      <c r="G332" s="11">
        <f t="shared" si="20"/>
        <v>0</v>
      </c>
    </row>
    <row r="333">
      <c r="A333" s="9">
        <f t="shared" si="21"/>
        <v>7</v>
      </c>
      <c r="B333" s="10">
        <f>IF(INDEX(rngYear,A333+1)&lt;&gt;0,INDEX(rngYear,A333+1),"")</f>
        <v>1986</v>
      </c>
      <c r="C333" s="11">
        <f>IFERROR(INDEX(rngData,MATCH($B333,rngYear,0),MATCH(OFFSET(C333,-$A333,0),rngColumnNames,0)),"")</f>
        <v>0</v>
      </c>
      <c r="D333" s="11">
        <f>IFERROR(INDEX(rngData,MATCH($B333,rngYear,0),MATCH(OFFSET(D333,-$A333,0),rngColumnNames,0)),"")</f>
        <v>0</v>
      </c>
      <c r="E333" s="11">
        <f>IFERROR(INDEX(rngData,MATCH($B333,rngYear,0),MATCH(OFFSET(E333,-$A333,0),rngColumnNames,0)),"")</f>
        <v>0</v>
      </c>
      <c r="F333" s="11">
        <f>IFERROR(INDEX(rngData,MATCH($B333,rngYear,0),MATCH(OFFSET(F333,-$A333,0),rngColumnNames,0)),"")</f>
        <v>0</v>
      </c>
      <c r="G333" s="11">
        <f t="shared" si="20"/>
        <v>0</v>
      </c>
    </row>
    <row r="334">
      <c r="A334" s="9">
        <f t="shared" si="21"/>
        <v>8</v>
      </c>
      <c r="B334" s="10">
        <f>IF(INDEX(rngYear,A334+1)&lt;&gt;0,INDEX(rngYear,A334+1),"")</f>
        <v>1987</v>
      </c>
      <c r="C334" s="11">
        <f>IFERROR(INDEX(rngData,MATCH($B334,rngYear,0),MATCH(OFFSET(C334,-$A334,0),rngColumnNames,0)),"")</f>
        <v>0</v>
      </c>
      <c r="D334" s="11">
        <f>IFERROR(INDEX(rngData,MATCH($B334,rngYear,0),MATCH(OFFSET(D334,-$A334,0),rngColumnNames,0)),"")</f>
        <v>0</v>
      </c>
      <c r="E334" s="11">
        <f>IFERROR(INDEX(rngData,MATCH($B334,rngYear,0),MATCH(OFFSET(E334,-$A334,0),rngColumnNames,0)),"")</f>
        <v>0</v>
      </c>
      <c r="F334" s="11">
        <f>IFERROR(INDEX(rngData,MATCH($B334,rngYear,0),MATCH(OFFSET(F334,-$A334,0),rngColumnNames,0)),"")</f>
        <v>0</v>
      </c>
      <c r="G334" s="11">
        <f t="shared" si="20"/>
        <v>0</v>
      </c>
    </row>
    <row r="335">
      <c r="A335" s="9">
        <f t="shared" si="21"/>
        <v>9</v>
      </c>
      <c r="B335" s="10">
        <f>IF(INDEX(rngYear,A335+1)&lt;&gt;0,INDEX(rngYear,A335+1),"")</f>
        <v>1988</v>
      </c>
      <c r="C335" s="11">
        <f>IFERROR(INDEX(rngData,MATCH($B335,rngYear,0),MATCH(OFFSET(C335,-$A335,0),rngColumnNames,0)),"")</f>
        <v>0</v>
      </c>
      <c r="D335" s="11">
        <f>IFERROR(INDEX(rngData,MATCH($B335,rngYear,0),MATCH(OFFSET(D335,-$A335,0),rngColumnNames,0)),"")</f>
        <v>0</v>
      </c>
      <c r="E335" s="11">
        <f>IFERROR(INDEX(rngData,MATCH($B335,rngYear,0),MATCH(OFFSET(E335,-$A335,0),rngColumnNames,0)),"")</f>
        <v>0</v>
      </c>
      <c r="F335" s="11">
        <f>IFERROR(INDEX(rngData,MATCH($B335,rngYear,0),MATCH(OFFSET(F335,-$A335,0),rngColumnNames,0)),"")</f>
        <v>0</v>
      </c>
      <c r="G335" s="11">
        <f t="shared" si="20"/>
        <v>0</v>
      </c>
    </row>
    <row r="336">
      <c r="A336" s="9">
        <f t="shared" si="21"/>
        <v>10</v>
      </c>
      <c r="B336" s="10">
        <f>IF(INDEX(rngYear,A336+1)&lt;&gt;0,INDEX(rngYear,A336+1),"")</f>
        <v>1989</v>
      </c>
      <c r="C336" s="11">
        <f>IFERROR(INDEX(rngData,MATCH($B336,rngYear,0),MATCH(OFFSET(C336,-$A336,0),rngColumnNames,0)),"")</f>
        <v>0</v>
      </c>
      <c r="D336" s="11">
        <f>IFERROR(INDEX(rngData,MATCH($B336,rngYear,0),MATCH(OFFSET(D336,-$A336,0),rngColumnNames,0)),"")</f>
        <v>0</v>
      </c>
      <c r="E336" s="11">
        <f>IFERROR(INDEX(rngData,MATCH($B336,rngYear,0),MATCH(OFFSET(E336,-$A336,0),rngColumnNames,0)),"")</f>
        <v>0</v>
      </c>
      <c r="F336" s="11">
        <f>IFERROR(INDEX(rngData,MATCH($B336,rngYear,0),MATCH(OFFSET(F336,-$A336,0),rngColumnNames,0)),"")</f>
        <v>0</v>
      </c>
      <c r="G336" s="11">
        <f t="shared" si="20"/>
        <v>0</v>
      </c>
    </row>
    <row r="337">
      <c r="A337" s="9">
        <f t="shared" si="21"/>
        <v>11</v>
      </c>
      <c r="B337" s="10">
        <f>IF(INDEX(rngYear,A337+1)&lt;&gt;0,INDEX(rngYear,A337+1),"")</f>
        <v>1990</v>
      </c>
      <c r="C337" s="11">
        <f>IFERROR(INDEX(rngData,MATCH($B337,rngYear,0),MATCH(OFFSET(C337,-$A337,0),rngColumnNames,0)),"")</f>
        <v>0</v>
      </c>
      <c r="D337" s="11">
        <f>IFERROR(INDEX(rngData,MATCH($B337,rngYear,0),MATCH(OFFSET(D337,-$A337,0),rngColumnNames,0)),"")</f>
        <v>0</v>
      </c>
      <c r="E337" s="11">
        <f>IFERROR(INDEX(rngData,MATCH($B337,rngYear,0),MATCH(OFFSET(E337,-$A337,0),rngColumnNames,0)),"")</f>
        <v>0</v>
      </c>
      <c r="F337" s="11">
        <f>IFERROR(INDEX(rngData,MATCH($B337,rngYear,0),MATCH(OFFSET(F337,-$A337,0),rngColumnNames,0)),"")</f>
        <v>0</v>
      </c>
      <c r="G337" s="11">
        <f t="shared" si="20"/>
        <v>0</v>
      </c>
    </row>
    <row r="338">
      <c r="A338" s="9">
        <f t="shared" si="21"/>
        <v>12</v>
      </c>
      <c r="B338" s="10">
        <f>IF(INDEX(rngYear,A338+1)&lt;&gt;0,INDEX(rngYear,A338+1),"")</f>
        <v>1991</v>
      </c>
      <c r="C338" s="11">
        <f>IFERROR(INDEX(rngData,MATCH($B338,rngYear,0),MATCH(OFFSET(C338,-$A338,0),rngColumnNames,0)),"")</f>
        <v>0</v>
      </c>
      <c r="D338" s="11">
        <f>IFERROR(INDEX(rngData,MATCH($B338,rngYear,0),MATCH(OFFSET(D338,-$A338,0),rngColumnNames,0)),"")</f>
        <v>0</v>
      </c>
      <c r="E338" s="11">
        <f>IFERROR(INDEX(rngData,MATCH($B338,rngYear,0),MATCH(OFFSET(E338,-$A338,0),rngColumnNames,0)),"")</f>
        <v>0</v>
      </c>
      <c r="F338" s="11">
        <f>IFERROR(INDEX(rngData,MATCH($B338,rngYear,0),MATCH(OFFSET(F338,-$A338,0),rngColumnNames,0)),"")</f>
        <v>0</v>
      </c>
      <c r="G338" s="11">
        <f t="shared" si="20"/>
        <v>0</v>
      </c>
    </row>
    <row r="339">
      <c r="A339" s="9">
        <f t="shared" si="21"/>
        <v>13</v>
      </c>
      <c r="B339" s="10">
        <f>IF(INDEX(rngYear,A339+1)&lt;&gt;0,INDEX(rngYear,A339+1),"")</f>
        <v>1992</v>
      </c>
      <c r="C339" s="11">
        <f>IFERROR(INDEX(rngData,MATCH($B339,rngYear,0),MATCH(OFFSET(C339,-$A339,0),rngColumnNames,0)),"")</f>
        <v>0</v>
      </c>
      <c r="D339" s="11">
        <f>IFERROR(INDEX(rngData,MATCH($B339,rngYear,0),MATCH(OFFSET(D339,-$A339,0),rngColumnNames,0)),"")</f>
        <v>0</v>
      </c>
      <c r="E339" s="11">
        <f>IFERROR(INDEX(rngData,MATCH($B339,rngYear,0),MATCH(OFFSET(E339,-$A339,0),rngColumnNames,0)),"")</f>
        <v>0</v>
      </c>
      <c r="F339" s="11">
        <f>IFERROR(INDEX(rngData,MATCH($B339,rngYear,0),MATCH(OFFSET(F339,-$A339,0),rngColumnNames,0)),"")</f>
        <v>0</v>
      </c>
      <c r="G339" s="11">
        <f t="shared" si="20"/>
        <v>0</v>
      </c>
    </row>
    <row r="340">
      <c r="A340" s="9">
        <f t="shared" si="21"/>
        <v>14</v>
      </c>
      <c r="B340" s="10">
        <f>IF(INDEX(rngYear,A340+1)&lt;&gt;0,INDEX(rngYear,A340+1),"")</f>
        <v>1993</v>
      </c>
      <c r="C340" s="11">
        <f>IFERROR(INDEX(rngData,MATCH($B340,rngYear,0),MATCH(OFFSET(C340,-$A340,0),rngColumnNames,0)),"")</f>
        <v>0</v>
      </c>
      <c r="D340" s="11">
        <f>IFERROR(INDEX(rngData,MATCH($B340,rngYear,0),MATCH(OFFSET(D340,-$A340,0),rngColumnNames,0)),"")</f>
        <v>0</v>
      </c>
      <c r="E340" s="11">
        <f>IFERROR(INDEX(rngData,MATCH($B340,rngYear,0),MATCH(OFFSET(E340,-$A340,0),rngColumnNames,0)),"")</f>
        <v>0</v>
      </c>
      <c r="F340" s="11">
        <f>IFERROR(INDEX(rngData,MATCH($B340,rngYear,0),MATCH(OFFSET(F340,-$A340,0),rngColumnNames,0)),"")</f>
        <v>0</v>
      </c>
      <c r="G340" s="11">
        <f t="shared" si="20"/>
        <v>0</v>
      </c>
    </row>
    <row r="341">
      <c r="A341" s="9">
        <f t="shared" si="21"/>
        <v>15</v>
      </c>
      <c r="B341" s="10">
        <f>IF(INDEX(rngYear,A341+1)&lt;&gt;0,INDEX(rngYear,A341+1),"")</f>
        <v>1994</v>
      </c>
      <c r="C341" s="11">
        <f>IFERROR(INDEX(rngData,MATCH($B341,rngYear,0),MATCH(OFFSET(C341,-$A341,0),rngColumnNames,0)),"")</f>
        <v>0</v>
      </c>
      <c r="D341" s="11">
        <f>IFERROR(INDEX(rngData,MATCH($B341,rngYear,0),MATCH(OFFSET(D341,-$A341,0),rngColumnNames,0)),"")</f>
        <v>0</v>
      </c>
      <c r="E341" s="11">
        <f>IFERROR(INDEX(rngData,MATCH($B341,rngYear,0),MATCH(OFFSET(E341,-$A341,0),rngColumnNames,0)),"")</f>
        <v>0</v>
      </c>
      <c r="F341" s="11">
        <f>IFERROR(INDEX(rngData,MATCH($B341,rngYear,0),MATCH(OFFSET(F341,-$A341,0),rngColumnNames,0)),"")</f>
        <v>0</v>
      </c>
      <c r="G341" s="11">
        <f t="shared" si="20"/>
        <v>0</v>
      </c>
    </row>
    <row r="342">
      <c r="A342" s="9">
        <f t="shared" si="21"/>
        <v>16</v>
      </c>
      <c r="B342" s="10">
        <f>IF(INDEX(rngYear,A342+1)&lt;&gt;0,INDEX(rngYear,A342+1),"")</f>
        <v>1995</v>
      </c>
      <c r="C342" s="11">
        <f>IFERROR(INDEX(rngData,MATCH($B342,rngYear,0),MATCH(OFFSET(C342,-$A342,0),rngColumnNames,0)),"")</f>
        <v>0</v>
      </c>
      <c r="D342" s="11">
        <f>IFERROR(INDEX(rngData,MATCH($B342,rngYear,0),MATCH(OFFSET(D342,-$A342,0),rngColumnNames,0)),"")</f>
        <v>0</v>
      </c>
      <c r="E342" s="11">
        <f>IFERROR(INDEX(rngData,MATCH($B342,rngYear,0),MATCH(OFFSET(E342,-$A342,0),rngColumnNames,0)),"")</f>
        <v>0</v>
      </c>
      <c r="F342" s="11">
        <f>IFERROR(INDEX(rngData,MATCH($B342,rngYear,0),MATCH(OFFSET(F342,-$A342,0),rngColumnNames,0)),"")</f>
        <v>0</v>
      </c>
      <c r="G342" s="11">
        <f t="shared" si="20"/>
        <v>0</v>
      </c>
    </row>
    <row r="343">
      <c r="A343" s="9">
        <f t="shared" si="21"/>
        <v>17</v>
      </c>
      <c r="B343" s="10">
        <f>IF(INDEX(rngYear,A343+1)&lt;&gt;0,INDEX(rngYear,A343+1),"")</f>
        <v>1996</v>
      </c>
      <c r="C343" s="11">
        <f>IFERROR(INDEX(rngData,MATCH($B343,rngYear,0),MATCH(OFFSET(C343,-$A343,0),rngColumnNames,0)),"")</f>
        <v>0</v>
      </c>
      <c r="D343" s="11">
        <f>IFERROR(INDEX(rngData,MATCH($B343,rngYear,0),MATCH(OFFSET(D343,-$A343,0),rngColumnNames,0)),"")</f>
        <v>0</v>
      </c>
      <c r="E343" s="11">
        <f>IFERROR(INDEX(rngData,MATCH($B343,rngYear,0),MATCH(OFFSET(E343,-$A343,0),rngColumnNames,0)),"")</f>
        <v>0</v>
      </c>
      <c r="F343" s="11">
        <f>IFERROR(INDEX(rngData,MATCH($B343,rngYear,0),MATCH(OFFSET(F343,-$A343,0),rngColumnNames,0)),"")</f>
        <v>0</v>
      </c>
      <c r="G343" s="11">
        <f t="shared" si="20"/>
        <v>0</v>
      </c>
    </row>
    <row r="344">
      <c r="A344" s="9">
        <f t="shared" si="21"/>
        <v>18</v>
      </c>
      <c r="B344" s="10">
        <f>IF(INDEX(rngYear,A344+1)&lt;&gt;0,INDEX(rngYear,A344+1),"")</f>
        <v>1997</v>
      </c>
      <c r="C344" s="11">
        <f>IFERROR(INDEX(rngData,MATCH($B344,rngYear,0),MATCH(OFFSET(C344,-$A344,0),rngColumnNames,0)),"")</f>
        <v>0</v>
      </c>
      <c r="D344" s="11">
        <f>IFERROR(INDEX(rngData,MATCH($B344,rngYear,0),MATCH(OFFSET(D344,-$A344,0),rngColumnNames,0)),"")</f>
        <v>0</v>
      </c>
      <c r="E344" s="11">
        <f>IFERROR(INDEX(rngData,MATCH($B344,rngYear,0),MATCH(OFFSET(E344,-$A344,0),rngColumnNames,0)),"")</f>
        <v>0</v>
      </c>
      <c r="F344" s="11">
        <f>IFERROR(INDEX(rngData,MATCH($B344,rngYear,0),MATCH(OFFSET(F344,-$A344,0),rngColumnNames,0)),"")</f>
        <v>0</v>
      </c>
      <c r="G344" s="11">
        <f t="shared" si="20"/>
        <v>0</v>
      </c>
    </row>
    <row r="345">
      <c r="A345" s="9">
        <f t="shared" si="21"/>
        <v>19</v>
      </c>
      <c r="B345" s="10">
        <f>IF(INDEX(rngYear,A345+1)&lt;&gt;0,INDEX(rngYear,A345+1),"")</f>
        <v>1998</v>
      </c>
      <c r="C345" s="11">
        <f>IFERROR(INDEX(rngData,MATCH($B345,rngYear,0),MATCH(OFFSET(C345,-$A345,0),rngColumnNames,0)),"")</f>
        <v>0</v>
      </c>
      <c r="D345" s="11">
        <f>IFERROR(INDEX(rngData,MATCH($B345,rngYear,0),MATCH(OFFSET(D345,-$A345,0),rngColumnNames,0)),"")</f>
        <v>0</v>
      </c>
      <c r="E345" s="11">
        <f>IFERROR(INDEX(rngData,MATCH($B345,rngYear,0),MATCH(OFFSET(E345,-$A345,0),rngColumnNames,0)),"")</f>
        <v>0</v>
      </c>
      <c r="F345" s="11">
        <f>IFERROR(INDEX(rngData,MATCH($B345,rngYear,0),MATCH(OFFSET(F345,-$A345,0),rngColumnNames,0)),"")</f>
        <v>0</v>
      </c>
      <c r="G345" s="11">
        <f t="shared" si="20"/>
        <v>0</v>
      </c>
    </row>
    <row r="346">
      <c r="A346" s="9">
        <f t="shared" si="21"/>
        <v>20</v>
      </c>
      <c r="B346" s="10">
        <f>IF(INDEX(rngYear,A346+1)&lt;&gt;0,INDEX(rngYear,A346+1),"")</f>
        <v>1999</v>
      </c>
      <c r="C346" s="11">
        <f>IFERROR(INDEX(rngData,MATCH($B346,rngYear,0),MATCH(OFFSET(C346,-$A346,0),rngColumnNames,0)),"")</f>
        <v>0</v>
      </c>
      <c r="D346" s="11">
        <f>IFERROR(INDEX(rngData,MATCH($B346,rngYear,0),MATCH(OFFSET(D346,-$A346,0),rngColumnNames,0)),"")</f>
        <v>0</v>
      </c>
      <c r="E346" s="11">
        <f>IFERROR(INDEX(rngData,MATCH($B346,rngYear,0),MATCH(OFFSET(E346,-$A346,0),rngColumnNames,0)),"")</f>
        <v>0</v>
      </c>
      <c r="F346" s="11">
        <f>IFERROR(INDEX(rngData,MATCH($B346,rngYear,0),MATCH(OFFSET(F346,-$A346,0),rngColumnNames,0)),"")</f>
        <v>0</v>
      </c>
      <c r="G346" s="11">
        <f t="shared" si="20"/>
        <v>0</v>
      </c>
    </row>
    <row r="347">
      <c r="A347" s="9">
        <f t="shared" si="21"/>
        <v>21</v>
      </c>
      <c r="B347" s="10">
        <f>IF(INDEX(rngYear,A347+1)&lt;&gt;0,INDEX(rngYear,A347+1),"")</f>
        <v>2000</v>
      </c>
      <c r="C347" s="11">
        <f>IFERROR(INDEX(rngData,MATCH($B347,rngYear,0),MATCH(OFFSET(C347,-$A347,0),rngColumnNames,0)),"")</f>
        <v>0</v>
      </c>
      <c r="D347" s="11">
        <f>IFERROR(INDEX(rngData,MATCH($B347,rngYear,0),MATCH(OFFSET(D347,-$A347,0),rngColumnNames,0)),"")</f>
        <v>0</v>
      </c>
      <c r="E347" s="11">
        <f>IFERROR(INDEX(rngData,MATCH($B347,rngYear,0),MATCH(OFFSET(E347,-$A347,0),rngColumnNames,0)),"")</f>
        <v>0</v>
      </c>
      <c r="F347" s="11">
        <f>IFERROR(INDEX(rngData,MATCH($B347,rngYear,0),MATCH(OFFSET(F347,-$A347,0),rngColumnNames,0)),"")</f>
        <v>0</v>
      </c>
      <c r="G347" s="11">
        <f t="shared" si="20"/>
        <v>0</v>
      </c>
    </row>
    <row r="348">
      <c r="A348" s="9">
        <f t="shared" si="21"/>
        <v>22</v>
      </c>
      <c r="B348" s="10">
        <f>IF(INDEX(rngYear,A348+1)&lt;&gt;0,INDEX(rngYear,A348+1),"")</f>
        <v>2001</v>
      </c>
      <c r="C348" s="11">
        <f>IFERROR(INDEX(rngData,MATCH($B348,rngYear,0),MATCH(OFFSET(C348,-$A348,0),rngColumnNames,0)),"")</f>
        <v>0</v>
      </c>
      <c r="D348" s="11">
        <f>IFERROR(INDEX(rngData,MATCH($B348,rngYear,0),MATCH(OFFSET(D348,-$A348,0),rngColumnNames,0)),"")</f>
        <v>0</v>
      </c>
      <c r="E348" s="11">
        <f>IFERROR(INDEX(rngData,MATCH($B348,rngYear,0),MATCH(OFFSET(E348,-$A348,0),rngColumnNames,0)),"")</f>
        <v>0</v>
      </c>
      <c r="F348" s="11">
        <f>IFERROR(INDEX(rngData,MATCH($B348,rngYear,0),MATCH(OFFSET(F348,-$A348,0),rngColumnNames,0)),"")</f>
        <v>0</v>
      </c>
      <c r="G348" s="11">
        <f t="shared" si="20"/>
        <v>0</v>
      </c>
    </row>
    <row r="349">
      <c r="A349" s="9">
        <f t="shared" si="21"/>
        <v>23</v>
      </c>
      <c r="B349" s="10">
        <f>IF(INDEX(rngYear,A349+1)&lt;&gt;0,INDEX(rngYear,A349+1),"")</f>
        <v>2002</v>
      </c>
      <c r="C349" s="11">
        <f>IFERROR(INDEX(rngData,MATCH($B349,rngYear,0),MATCH(OFFSET(C349,-$A349,0),rngColumnNames,0)),"")</f>
        <v>0</v>
      </c>
      <c r="D349" s="11">
        <f>IFERROR(INDEX(rngData,MATCH($B349,rngYear,0),MATCH(OFFSET(D349,-$A349,0),rngColumnNames,0)),"")</f>
        <v>0</v>
      </c>
      <c r="E349" s="11">
        <f>IFERROR(INDEX(rngData,MATCH($B349,rngYear,0),MATCH(OFFSET(E349,-$A349,0),rngColumnNames,0)),"")</f>
        <v>0</v>
      </c>
      <c r="F349" s="11">
        <f>IFERROR(INDEX(rngData,MATCH($B349,rngYear,0),MATCH(OFFSET(F349,-$A349,0),rngColumnNames,0)),"")</f>
        <v>0</v>
      </c>
      <c r="G349" s="11">
        <f t="shared" si="20"/>
        <v>0</v>
      </c>
    </row>
    <row r="350">
      <c r="A350" s="9">
        <f t="shared" si="21"/>
        <v>24</v>
      </c>
      <c r="B350" s="10">
        <f>IF(INDEX(rngYear,A350+1)&lt;&gt;0,INDEX(rngYear,A350+1),"")</f>
        <v>2003</v>
      </c>
      <c r="C350" s="11">
        <f>IFERROR(INDEX(rngData,MATCH($B350,rngYear,0),MATCH(OFFSET(C350,-$A350,0),rngColumnNames,0)),"")</f>
        <v>0</v>
      </c>
      <c r="D350" s="11">
        <f>IFERROR(INDEX(rngData,MATCH($B350,rngYear,0),MATCH(OFFSET(D350,-$A350,0),rngColumnNames,0)),"")</f>
        <v>0</v>
      </c>
      <c r="E350" s="11">
        <f>IFERROR(INDEX(rngData,MATCH($B350,rngYear,0),MATCH(OFFSET(E350,-$A350,0),rngColumnNames,0)),"")</f>
        <v>0</v>
      </c>
      <c r="F350" s="11">
        <f>IFERROR(INDEX(rngData,MATCH($B350,rngYear,0),MATCH(OFFSET(F350,-$A350,0),rngColumnNames,0)),"")</f>
        <v>0</v>
      </c>
      <c r="G350" s="11">
        <f t="shared" si="20"/>
        <v>0</v>
      </c>
    </row>
    <row r="351">
      <c r="A351" s="9">
        <f t="shared" si="21"/>
        <v>25</v>
      </c>
      <c r="B351" s="10">
        <f>IF(INDEX(rngYear,A351+1)&lt;&gt;0,INDEX(rngYear,A351+1),"")</f>
        <v>2004</v>
      </c>
      <c r="C351" s="11">
        <f>IFERROR(INDEX(rngData,MATCH($B351,rngYear,0),MATCH(OFFSET(C351,-$A351,0),rngColumnNames,0)),"")</f>
        <v>0</v>
      </c>
      <c r="D351" s="11">
        <f>IFERROR(INDEX(rngData,MATCH($B351,rngYear,0),MATCH(OFFSET(D351,-$A351,0),rngColumnNames,0)),"")</f>
        <v>0</v>
      </c>
      <c r="E351" s="11">
        <f>IFERROR(INDEX(rngData,MATCH($B351,rngYear,0),MATCH(OFFSET(E351,-$A351,0),rngColumnNames,0)),"")</f>
        <v>0</v>
      </c>
      <c r="F351" s="11">
        <f>IFERROR(INDEX(rngData,MATCH($B351,rngYear,0),MATCH(OFFSET(F351,-$A351,0),rngColumnNames,0)),"")</f>
        <v>0</v>
      </c>
      <c r="G351" s="11">
        <f t="shared" si="20"/>
        <v>0</v>
      </c>
    </row>
    <row r="352">
      <c r="A352" s="9">
        <f t="shared" si="21"/>
        <v>26</v>
      </c>
      <c r="B352" s="10">
        <f>IF(INDEX(rngYear,A352+1)&lt;&gt;0,INDEX(rngYear,A352+1),"")</f>
        <v>2005</v>
      </c>
      <c r="C352" s="11">
        <f>IFERROR(INDEX(rngData,MATCH($B352,rngYear,0),MATCH(OFFSET(C352,-$A352,0),rngColumnNames,0)),"")</f>
        <v>0</v>
      </c>
      <c r="D352" s="11">
        <f>IFERROR(INDEX(rngData,MATCH($B352,rngYear,0),MATCH(OFFSET(D352,-$A352,0),rngColumnNames,0)),"")</f>
        <v>0</v>
      </c>
      <c r="E352" s="11">
        <f>IFERROR(INDEX(rngData,MATCH($B352,rngYear,0),MATCH(OFFSET(E352,-$A352,0),rngColumnNames,0)),"")</f>
        <v>0</v>
      </c>
      <c r="F352" s="11">
        <f>IFERROR(INDEX(rngData,MATCH($B352,rngYear,0),MATCH(OFFSET(F352,-$A352,0),rngColumnNames,0)),"")</f>
        <v>0</v>
      </c>
      <c r="G352" s="11">
        <f t="shared" si="20"/>
        <v>0</v>
      </c>
    </row>
    <row r="353">
      <c r="A353" s="9">
        <f t="shared" si="21"/>
        <v>27</v>
      </c>
      <c r="B353" s="10">
        <f>IF(INDEX(rngYear,A353+1)&lt;&gt;0,INDEX(rngYear,A353+1),"")</f>
        <v>2006</v>
      </c>
      <c r="C353" s="11">
        <f>IFERROR(INDEX(rngData,MATCH($B353,rngYear,0),MATCH(OFFSET(C353,-$A353,0),rngColumnNames,0)),"")</f>
        <v>0</v>
      </c>
      <c r="D353" s="11">
        <f>IFERROR(INDEX(rngData,MATCH($B353,rngYear,0),MATCH(OFFSET(D353,-$A353,0),rngColumnNames,0)),"")</f>
        <v>0</v>
      </c>
      <c r="E353" s="11">
        <f>IFERROR(INDEX(rngData,MATCH($B353,rngYear,0),MATCH(OFFSET(E353,-$A353,0),rngColumnNames,0)),"")</f>
        <v>0</v>
      </c>
      <c r="F353" s="11">
        <f>IFERROR(INDEX(rngData,MATCH($B353,rngYear,0),MATCH(OFFSET(F353,-$A353,0),rngColumnNames,0)),"")</f>
        <v>0</v>
      </c>
      <c r="G353" s="11">
        <f t="shared" si="20"/>
        <v>0</v>
      </c>
    </row>
    <row r="354">
      <c r="A354" s="9">
        <f t="shared" si="21"/>
        <v>28</v>
      </c>
      <c r="B354" s="10">
        <f>IF(INDEX(rngYear,A354+1)&lt;&gt;0,INDEX(rngYear,A354+1),"")</f>
        <v>2007</v>
      </c>
      <c r="C354" s="11">
        <f>IFERROR(INDEX(rngData,MATCH($B354,rngYear,0),MATCH(OFFSET(C354,-$A354,0),rngColumnNames,0)),"")</f>
        <v>0</v>
      </c>
      <c r="D354" s="11">
        <f>IFERROR(INDEX(rngData,MATCH($B354,rngYear,0),MATCH(OFFSET(D354,-$A354,0),rngColumnNames,0)),"")</f>
        <v>0</v>
      </c>
      <c r="E354" s="11">
        <f>IFERROR(INDEX(rngData,MATCH($B354,rngYear,0),MATCH(OFFSET(E354,-$A354,0),rngColumnNames,0)),"")</f>
        <v>0</v>
      </c>
      <c r="F354" s="11">
        <f>IFERROR(INDEX(rngData,MATCH($B354,rngYear,0),MATCH(OFFSET(F354,-$A354,0),rngColumnNames,0)),"")</f>
        <v>0</v>
      </c>
      <c r="G354" s="11">
        <f t="shared" si="20"/>
        <v>0</v>
      </c>
    </row>
    <row r="355">
      <c r="A355" s="9">
        <f t="shared" si="21"/>
        <v>29</v>
      </c>
      <c r="B355" s="10">
        <f>IF(INDEX(rngYear,A355+1)&lt;&gt;0,INDEX(rngYear,A355+1),"")</f>
        <v>2008</v>
      </c>
      <c r="C355" s="11">
        <f>IFERROR(INDEX(rngData,MATCH($B355,rngYear,0),MATCH(OFFSET(C355,-$A355,0),rngColumnNames,0)),"")</f>
        <v>0</v>
      </c>
      <c r="D355" s="11">
        <f>IFERROR(INDEX(rngData,MATCH($B355,rngYear,0),MATCH(OFFSET(D355,-$A355,0),rngColumnNames,0)),"")</f>
        <v>0</v>
      </c>
      <c r="E355" s="11">
        <f>IFERROR(INDEX(rngData,MATCH($B355,rngYear,0),MATCH(OFFSET(E355,-$A355,0),rngColumnNames,0)),"")</f>
        <v>0</v>
      </c>
      <c r="F355" s="11">
        <f>IFERROR(INDEX(rngData,MATCH($B355,rngYear,0),MATCH(OFFSET(F355,-$A355,0),rngColumnNames,0)),"")</f>
        <v>0</v>
      </c>
      <c r="G355" s="11">
        <f t="shared" si="20"/>
        <v>0</v>
      </c>
    </row>
    <row r="356">
      <c r="A356" s="9">
        <f t="shared" si="21"/>
        <v>30</v>
      </c>
      <c r="B356" s="10">
        <f>IF(INDEX(rngYear,A356+1)&lt;&gt;0,INDEX(rngYear,A356+1),"")</f>
        <v>2009</v>
      </c>
      <c r="C356" s="11">
        <f>IFERROR(INDEX(rngData,MATCH($B356,rngYear,0),MATCH(OFFSET(C356,-$A356,0),rngColumnNames,0)),"")</f>
        <v>0</v>
      </c>
      <c r="D356" s="11">
        <f>IFERROR(INDEX(rngData,MATCH($B356,rngYear,0),MATCH(OFFSET(D356,-$A356,0),rngColumnNames,0)),"")</f>
        <v>0</v>
      </c>
      <c r="E356" s="11">
        <f>IFERROR(INDEX(rngData,MATCH($B356,rngYear,0),MATCH(OFFSET(E356,-$A356,0),rngColumnNames,0)),"")</f>
        <v>0</v>
      </c>
      <c r="F356" s="11">
        <f>IFERROR(INDEX(rngData,MATCH($B356,rngYear,0),MATCH(OFFSET(F356,-$A356,0),rngColumnNames,0)),"")</f>
        <v>0</v>
      </c>
      <c r="G356" s="11">
        <f t="shared" si="20"/>
        <v>0</v>
      </c>
    </row>
    <row r="357">
      <c r="A357" s="9">
        <f t="shared" si="21"/>
        <v>31</v>
      </c>
      <c r="B357" s="10">
        <f>IF(INDEX(rngYear,A357+1)&lt;&gt;0,INDEX(rngYear,A357+1),"")</f>
        <v>2010</v>
      </c>
      <c r="C357" s="11">
        <f>IFERROR(INDEX(rngData,MATCH($B357,rngYear,0),MATCH(OFFSET(C357,-$A357,0),rngColumnNames,0)),"")</f>
        <v>0</v>
      </c>
      <c r="D357" s="11">
        <f>IFERROR(INDEX(rngData,MATCH($B357,rngYear,0),MATCH(OFFSET(D357,-$A357,0),rngColumnNames,0)),"")</f>
        <v>0</v>
      </c>
      <c r="E357" s="11">
        <f>IFERROR(INDEX(rngData,MATCH($B357,rngYear,0),MATCH(OFFSET(E357,-$A357,0),rngColumnNames,0)),"")</f>
        <v>0</v>
      </c>
      <c r="F357" s="11">
        <f>IFERROR(INDEX(rngData,MATCH($B357,rngYear,0),MATCH(OFFSET(F357,-$A357,0),rngColumnNames,0)),"")</f>
        <v>0</v>
      </c>
      <c r="G357" s="11">
        <f t="shared" si="20"/>
        <v>0</v>
      </c>
    </row>
    <row r="358">
      <c r="A358" s="9">
        <f t="shared" si="21"/>
        <v>32</v>
      </c>
      <c r="B358" s="10">
        <f>IF(INDEX(rngYear,A358+1)&lt;&gt;0,INDEX(rngYear,A358+1),"")</f>
        <v>2011</v>
      </c>
      <c r="C358" s="11">
        <f>IFERROR(INDEX(rngData,MATCH($B358,rngYear,0),MATCH(OFFSET(C358,-$A358,0),rngColumnNames,0)),"")</f>
        <v>0</v>
      </c>
      <c r="D358" s="11">
        <f>IFERROR(INDEX(rngData,MATCH($B358,rngYear,0),MATCH(OFFSET(D358,-$A358,0),rngColumnNames,0)),"")</f>
        <v>0</v>
      </c>
      <c r="E358" s="11">
        <f>IFERROR(INDEX(rngData,MATCH($B358,rngYear,0),MATCH(OFFSET(E358,-$A358,0),rngColumnNames,0)),"")</f>
        <v>0</v>
      </c>
      <c r="F358" s="11">
        <f>IFERROR(INDEX(rngData,MATCH($B358,rngYear,0),MATCH(OFFSET(F358,-$A358,0),rngColumnNames,0)),"")</f>
        <v>0</v>
      </c>
      <c r="G358" s="11">
        <f t="shared" si="20"/>
        <v>0</v>
      </c>
    </row>
    <row r="359">
      <c r="A359" s="9">
        <f t="shared" si="21"/>
        <v>33</v>
      </c>
      <c r="B359" s="10">
        <f>IF(INDEX(rngYear,A359+1)&lt;&gt;0,INDEX(rngYear,A359+1),"")</f>
        <v>2012</v>
      </c>
      <c r="C359" s="11">
        <f>IFERROR(INDEX(rngData,MATCH($B359,rngYear,0),MATCH(OFFSET(C359,-$A359,0),rngColumnNames,0)),"")</f>
        <v>0</v>
      </c>
      <c r="D359" s="11">
        <f>IFERROR(INDEX(rngData,MATCH($B359,rngYear,0),MATCH(OFFSET(D359,-$A359,0),rngColumnNames,0)),"")</f>
        <v>0</v>
      </c>
      <c r="E359" s="11">
        <f>IFERROR(INDEX(rngData,MATCH($B359,rngYear,0),MATCH(OFFSET(E359,-$A359,0),rngColumnNames,0)),"")</f>
        <v>0</v>
      </c>
      <c r="F359" s="11">
        <f>IFERROR(INDEX(rngData,MATCH($B359,rngYear,0),MATCH(OFFSET(F359,-$A359,0),rngColumnNames,0)),"")</f>
        <v>0</v>
      </c>
      <c r="G359" s="11">
        <f ref="G359:G386" t="shared" si="22">IFERROR(F359-E359,"")</f>
        <v>0</v>
      </c>
    </row>
    <row r="360" hidden="1">
      <c r="A360" s="9">
        <f ref="A360:A386" t="shared" si="23">A359+1</f>
        <v>34</v>
      </c>
      <c r="B360" s="10">
        <f>IF(INDEX(rngYear,A360+1)&lt;&gt;0,INDEX(rngYear,A360+1),"")</f>
      </c>
      <c r="C360" s="11">
        <f>IFERROR(INDEX(rngData,MATCH($B360,rngYear,0),MATCH(OFFSET(C360,-$A360,0),rngColumnNames,0)),"")</f>
      </c>
      <c r="D360" s="11">
        <f>IFERROR(INDEX(rngData,MATCH($B360,rngYear,0),MATCH(OFFSET(D360,-$A360,0),rngColumnNames,0)),"")</f>
      </c>
      <c r="E360" s="11">
        <f>IFERROR(INDEX(rngData,MATCH($B360,rngYear,0),MATCH(OFFSET(E360,-$A360,0),rngColumnNames,0)),"")</f>
      </c>
      <c r="F360" s="11">
        <f>IFERROR(INDEX(rngData,MATCH($B360,rngYear,0),MATCH(OFFSET(F360,-$A360,0),rngColumnNames,0)),"")</f>
      </c>
      <c r="G360" s="11">
        <f t="shared" si="22"/>
      </c>
    </row>
    <row r="361" hidden="1">
      <c r="A361" s="9">
        <f t="shared" si="23"/>
        <v>35</v>
      </c>
      <c r="B361" s="10">
        <f>IF(INDEX(rngYear,A361+1)&lt;&gt;0,INDEX(rngYear,A361+1),"")</f>
      </c>
      <c r="C361" s="11">
        <f>IFERROR(INDEX(rngData,MATCH($B361,rngYear,0),MATCH(OFFSET(C361,-$A361,0),rngColumnNames,0)),"")</f>
      </c>
      <c r="D361" s="11">
        <f>IFERROR(INDEX(rngData,MATCH($B361,rngYear,0),MATCH(OFFSET(D361,-$A361,0),rngColumnNames,0)),"")</f>
      </c>
      <c r="E361" s="11">
        <f>IFERROR(INDEX(rngData,MATCH($B361,rngYear,0),MATCH(OFFSET(E361,-$A361,0),rngColumnNames,0)),"")</f>
      </c>
      <c r="F361" s="11">
        <f>IFERROR(INDEX(rngData,MATCH($B361,rngYear,0),MATCH(OFFSET(F361,-$A361,0),rngColumnNames,0)),"")</f>
      </c>
      <c r="G361" s="11">
        <f t="shared" si="22"/>
      </c>
    </row>
    <row r="362" hidden="1">
      <c r="A362" s="9">
        <f t="shared" si="23"/>
        <v>36</v>
      </c>
      <c r="B362" s="10">
        <f>IF(INDEX(rngYear,A362+1)&lt;&gt;0,INDEX(rngYear,A362+1),"")</f>
      </c>
      <c r="C362" s="11">
        <f>IFERROR(INDEX(rngData,MATCH($B362,rngYear,0),MATCH(OFFSET(C362,-$A362,0),rngColumnNames,0)),"")</f>
      </c>
      <c r="D362" s="11">
        <f>IFERROR(INDEX(rngData,MATCH($B362,rngYear,0),MATCH(OFFSET(D362,-$A362,0),rngColumnNames,0)),"")</f>
      </c>
      <c r="E362" s="11">
        <f>IFERROR(INDEX(rngData,MATCH($B362,rngYear,0),MATCH(OFFSET(E362,-$A362,0),rngColumnNames,0)),"")</f>
      </c>
      <c r="F362" s="11">
        <f>IFERROR(INDEX(rngData,MATCH($B362,rngYear,0),MATCH(OFFSET(F362,-$A362,0),rngColumnNames,0)),"")</f>
      </c>
      <c r="G362" s="11">
        <f t="shared" si="22"/>
      </c>
    </row>
    <row r="363" hidden="1">
      <c r="A363" s="9">
        <f t="shared" si="23"/>
        <v>37</v>
      </c>
      <c r="B363" s="10">
        <f>IF(INDEX(rngYear,A363+1)&lt;&gt;0,INDEX(rngYear,A363+1),"")</f>
      </c>
      <c r="C363" s="11">
        <f>IFERROR(INDEX(rngData,MATCH($B363,rngYear,0),MATCH(OFFSET(C363,-$A363,0),rngColumnNames,0)),"")</f>
      </c>
      <c r="D363" s="11">
        <f>IFERROR(INDEX(rngData,MATCH($B363,rngYear,0),MATCH(OFFSET(D363,-$A363,0),rngColumnNames,0)),"")</f>
      </c>
      <c r="E363" s="11">
        <f>IFERROR(INDEX(rngData,MATCH($B363,rngYear,0),MATCH(OFFSET(E363,-$A363,0),rngColumnNames,0)),"")</f>
      </c>
      <c r="F363" s="11">
        <f>IFERROR(INDEX(rngData,MATCH($B363,rngYear,0),MATCH(OFFSET(F363,-$A363,0),rngColumnNames,0)),"")</f>
      </c>
      <c r="G363" s="11">
        <f t="shared" si="22"/>
      </c>
    </row>
    <row r="364" hidden="1">
      <c r="A364" s="9">
        <f t="shared" si="23"/>
        <v>38</v>
      </c>
      <c r="B364" s="10">
        <f>IF(INDEX(rngYear,A364+1)&lt;&gt;0,INDEX(rngYear,A364+1),"")</f>
      </c>
      <c r="C364" s="11">
        <f>IFERROR(INDEX(rngData,MATCH($B364,rngYear,0),MATCH(OFFSET(C364,-$A364,0),rngColumnNames,0)),"")</f>
      </c>
      <c r="D364" s="11">
        <f>IFERROR(INDEX(rngData,MATCH($B364,rngYear,0),MATCH(OFFSET(D364,-$A364,0),rngColumnNames,0)),"")</f>
      </c>
      <c r="E364" s="11">
        <f>IFERROR(INDEX(rngData,MATCH($B364,rngYear,0),MATCH(OFFSET(E364,-$A364,0),rngColumnNames,0)),"")</f>
      </c>
      <c r="F364" s="11">
        <f>IFERROR(INDEX(rngData,MATCH($B364,rngYear,0),MATCH(OFFSET(F364,-$A364,0),rngColumnNames,0)),"")</f>
      </c>
      <c r="G364" s="11">
        <f t="shared" si="22"/>
      </c>
    </row>
    <row r="365" hidden="1">
      <c r="A365" s="9">
        <f t="shared" si="23"/>
        <v>39</v>
      </c>
      <c r="B365" s="10">
        <f>IF(INDEX(rngYear,A365+1)&lt;&gt;0,INDEX(rngYear,A365+1),"")</f>
      </c>
      <c r="C365" s="11">
        <f>IFERROR(INDEX(rngData,MATCH($B365,rngYear,0),MATCH(OFFSET(C365,-$A365,0),rngColumnNames,0)),"")</f>
      </c>
      <c r="D365" s="11">
        <f>IFERROR(INDEX(rngData,MATCH($B365,rngYear,0),MATCH(OFFSET(D365,-$A365,0),rngColumnNames,0)),"")</f>
      </c>
      <c r="E365" s="11">
        <f>IFERROR(INDEX(rngData,MATCH($B365,rngYear,0),MATCH(OFFSET(E365,-$A365,0),rngColumnNames,0)),"")</f>
      </c>
      <c r="F365" s="11">
        <f>IFERROR(INDEX(rngData,MATCH($B365,rngYear,0),MATCH(OFFSET(F365,-$A365,0),rngColumnNames,0)),"")</f>
      </c>
      <c r="G365" s="11">
        <f t="shared" si="22"/>
      </c>
    </row>
    <row r="366" hidden="1">
      <c r="A366" s="9">
        <f t="shared" si="23"/>
        <v>40</v>
      </c>
      <c r="B366" s="10">
        <f>IF(INDEX(rngYear,A366+1)&lt;&gt;0,INDEX(rngYear,A366+1),"")</f>
      </c>
      <c r="C366" s="11">
        <f>IFERROR(INDEX(rngData,MATCH($B366,rngYear,0),MATCH(OFFSET(C366,-$A366,0),rngColumnNames,0)),"")</f>
      </c>
      <c r="D366" s="11">
        <f>IFERROR(INDEX(rngData,MATCH($B366,rngYear,0),MATCH(OFFSET(D366,-$A366,0),rngColumnNames,0)),"")</f>
      </c>
      <c r="E366" s="11">
        <f>IFERROR(INDEX(rngData,MATCH($B366,rngYear,0),MATCH(OFFSET(E366,-$A366,0),rngColumnNames,0)),"")</f>
      </c>
      <c r="F366" s="11">
        <f>IFERROR(INDEX(rngData,MATCH($B366,rngYear,0),MATCH(OFFSET(F366,-$A366,0),rngColumnNames,0)),"")</f>
      </c>
      <c r="G366" s="11">
        <f t="shared" si="22"/>
      </c>
    </row>
    <row r="367" hidden="1">
      <c r="A367" s="9">
        <f t="shared" si="23"/>
        <v>41</v>
      </c>
      <c r="B367" s="10">
        <f>IF(INDEX(rngYear,A367+1)&lt;&gt;0,INDEX(rngYear,A367+1),"")</f>
      </c>
      <c r="C367" s="11">
        <f>IFERROR(INDEX(rngData,MATCH($B367,rngYear,0),MATCH(OFFSET(C367,-$A367,0),rngColumnNames,0)),"")</f>
      </c>
      <c r="D367" s="11">
        <f>IFERROR(INDEX(rngData,MATCH($B367,rngYear,0),MATCH(OFFSET(D367,-$A367,0),rngColumnNames,0)),"")</f>
      </c>
      <c r="E367" s="11">
        <f>IFERROR(INDEX(rngData,MATCH($B367,rngYear,0),MATCH(OFFSET(E367,-$A367,0),rngColumnNames,0)),"")</f>
      </c>
      <c r="F367" s="11">
        <f>IFERROR(INDEX(rngData,MATCH($B367,rngYear,0),MATCH(OFFSET(F367,-$A367,0),rngColumnNames,0)),"")</f>
      </c>
      <c r="G367" s="11">
        <f t="shared" si="22"/>
      </c>
    </row>
    <row r="368" hidden="1">
      <c r="A368" s="9">
        <f t="shared" si="23"/>
        <v>42</v>
      </c>
      <c r="B368" s="10">
        <f>IF(INDEX(rngYear,A368+1)&lt;&gt;0,INDEX(rngYear,A368+1),"")</f>
      </c>
      <c r="C368" s="11">
        <f>IFERROR(INDEX(rngData,MATCH($B368,rngYear,0),MATCH(OFFSET(C368,-$A368,0),rngColumnNames,0)),"")</f>
      </c>
      <c r="D368" s="11">
        <f>IFERROR(INDEX(rngData,MATCH($B368,rngYear,0),MATCH(OFFSET(D368,-$A368,0),rngColumnNames,0)),"")</f>
      </c>
      <c r="E368" s="11">
        <f>IFERROR(INDEX(rngData,MATCH($B368,rngYear,0),MATCH(OFFSET(E368,-$A368,0),rngColumnNames,0)),"")</f>
      </c>
      <c r="F368" s="11">
        <f>IFERROR(INDEX(rngData,MATCH($B368,rngYear,0),MATCH(OFFSET(F368,-$A368,0),rngColumnNames,0)),"")</f>
      </c>
      <c r="G368" s="11">
        <f t="shared" si="22"/>
      </c>
    </row>
    <row r="369" hidden="1">
      <c r="A369" s="9">
        <f t="shared" si="23"/>
        <v>43</v>
      </c>
      <c r="B369" s="10">
        <f>IF(INDEX(rngYear,A369+1)&lt;&gt;0,INDEX(rngYear,A369+1),"")</f>
      </c>
      <c r="C369" s="11">
        <f>IFERROR(INDEX(rngData,MATCH($B369,rngYear,0),MATCH(OFFSET(C369,-$A369,0),rngColumnNames,0)),"")</f>
      </c>
      <c r="D369" s="11">
        <f>IFERROR(INDEX(rngData,MATCH($B369,rngYear,0),MATCH(OFFSET(D369,-$A369,0),rngColumnNames,0)),"")</f>
      </c>
      <c r="E369" s="11">
        <f>IFERROR(INDEX(rngData,MATCH($B369,rngYear,0),MATCH(OFFSET(E369,-$A369,0),rngColumnNames,0)),"")</f>
      </c>
      <c r="F369" s="11">
        <f>IFERROR(INDEX(rngData,MATCH($B369,rngYear,0),MATCH(OFFSET(F369,-$A369,0),rngColumnNames,0)),"")</f>
      </c>
      <c r="G369" s="11">
        <f t="shared" si="22"/>
      </c>
    </row>
    <row r="370" hidden="1">
      <c r="A370" s="9">
        <f t="shared" si="23"/>
        <v>44</v>
      </c>
      <c r="B370" s="10">
        <f>IF(INDEX(rngYear,A370+1)&lt;&gt;0,INDEX(rngYear,A370+1),"")</f>
      </c>
      <c r="C370" s="11">
        <f>IFERROR(INDEX(rngData,MATCH($B370,rngYear,0),MATCH(OFFSET(C370,-$A370,0),rngColumnNames,0)),"")</f>
      </c>
      <c r="D370" s="11">
        <f>IFERROR(INDEX(rngData,MATCH($B370,rngYear,0),MATCH(OFFSET(D370,-$A370,0),rngColumnNames,0)),"")</f>
      </c>
      <c r="E370" s="11">
        <f>IFERROR(INDEX(rngData,MATCH($B370,rngYear,0),MATCH(OFFSET(E370,-$A370,0),rngColumnNames,0)),"")</f>
      </c>
      <c r="F370" s="11">
        <f>IFERROR(INDEX(rngData,MATCH($B370,rngYear,0),MATCH(OFFSET(F370,-$A370,0),rngColumnNames,0)),"")</f>
      </c>
      <c r="G370" s="11">
        <f t="shared" si="22"/>
      </c>
    </row>
    <row r="371" hidden="1">
      <c r="A371" s="9">
        <f t="shared" si="23"/>
        <v>45</v>
      </c>
      <c r="B371" s="10">
        <f>IF(INDEX(rngYear,A371+1)&lt;&gt;0,INDEX(rngYear,A371+1),"")</f>
      </c>
      <c r="C371" s="11">
        <f>IFERROR(INDEX(rngData,MATCH($B371,rngYear,0),MATCH(OFFSET(C371,-$A371,0),rngColumnNames,0)),"")</f>
      </c>
      <c r="D371" s="11">
        <f>IFERROR(INDEX(rngData,MATCH($B371,rngYear,0),MATCH(OFFSET(D371,-$A371,0),rngColumnNames,0)),"")</f>
      </c>
      <c r="E371" s="11">
        <f>IFERROR(INDEX(rngData,MATCH($B371,rngYear,0),MATCH(OFFSET(E371,-$A371,0),rngColumnNames,0)),"")</f>
      </c>
      <c r="F371" s="11">
        <f>IFERROR(INDEX(rngData,MATCH($B371,rngYear,0),MATCH(OFFSET(F371,-$A371,0),rngColumnNames,0)),"")</f>
      </c>
      <c r="G371" s="11">
        <f t="shared" si="22"/>
      </c>
    </row>
    <row r="372" hidden="1">
      <c r="A372" s="9">
        <f t="shared" si="23"/>
        <v>46</v>
      </c>
      <c r="B372" s="10">
        <f>IF(INDEX(rngYear,A372+1)&lt;&gt;0,INDEX(rngYear,A372+1),"")</f>
      </c>
      <c r="C372" s="11">
        <f>IFERROR(INDEX(rngData,MATCH($B372,rngYear,0),MATCH(OFFSET(C372,-$A372,0),rngColumnNames,0)),"")</f>
      </c>
      <c r="D372" s="11">
        <f>IFERROR(INDEX(rngData,MATCH($B372,rngYear,0),MATCH(OFFSET(D372,-$A372,0),rngColumnNames,0)),"")</f>
      </c>
      <c r="E372" s="11">
        <f>IFERROR(INDEX(rngData,MATCH($B372,rngYear,0),MATCH(OFFSET(E372,-$A372,0),rngColumnNames,0)),"")</f>
      </c>
      <c r="F372" s="11">
        <f>IFERROR(INDEX(rngData,MATCH($B372,rngYear,0),MATCH(OFFSET(F372,-$A372,0),rngColumnNames,0)),"")</f>
      </c>
      <c r="G372" s="11">
        <f t="shared" si="22"/>
      </c>
    </row>
    <row r="373" hidden="1">
      <c r="A373" s="9">
        <f t="shared" si="23"/>
        <v>47</v>
      </c>
      <c r="B373" s="10">
        <f>IF(INDEX(rngYear,A373+1)&lt;&gt;0,INDEX(rngYear,A373+1),"")</f>
      </c>
      <c r="C373" s="11">
        <f>IFERROR(INDEX(rngData,MATCH($B373,rngYear,0),MATCH(OFFSET(C373,-$A373,0),rngColumnNames,0)),"")</f>
      </c>
      <c r="D373" s="11">
        <f>IFERROR(INDEX(rngData,MATCH($B373,rngYear,0),MATCH(OFFSET(D373,-$A373,0),rngColumnNames,0)),"")</f>
      </c>
      <c r="E373" s="11">
        <f>IFERROR(INDEX(rngData,MATCH($B373,rngYear,0),MATCH(OFFSET(E373,-$A373,0),rngColumnNames,0)),"")</f>
      </c>
      <c r="F373" s="11">
        <f>IFERROR(INDEX(rngData,MATCH($B373,rngYear,0),MATCH(OFFSET(F373,-$A373,0),rngColumnNames,0)),"")</f>
      </c>
      <c r="G373" s="11">
        <f t="shared" si="22"/>
      </c>
    </row>
    <row r="374" hidden="1">
      <c r="A374" s="9">
        <f t="shared" si="23"/>
        <v>48</v>
      </c>
      <c r="B374" s="10">
        <f>IF(INDEX(rngYear,A374+1)&lt;&gt;0,INDEX(rngYear,A374+1),"")</f>
      </c>
      <c r="C374" s="11">
        <f>IFERROR(INDEX(rngData,MATCH($B374,rngYear,0),MATCH(OFFSET(C374,-$A374,0),rngColumnNames,0)),"")</f>
      </c>
      <c r="D374" s="11">
        <f>IFERROR(INDEX(rngData,MATCH($B374,rngYear,0),MATCH(OFFSET(D374,-$A374,0),rngColumnNames,0)),"")</f>
      </c>
      <c r="E374" s="11">
        <f>IFERROR(INDEX(rngData,MATCH($B374,rngYear,0),MATCH(OFFSET(E374,-$A374,0),rngColumnNames,0)),"")</f>
      </c>
      <c r="F374" s="11">
        <f>IFERROR(INDEX(rngData,MATCH($B374,rngYear,0),MATCH(OFFSET(F374,-$A374,0),rngColumnNames,0)),"")</f>
      </c>
      <c r="G374" s="11">
        <f t="shared" si="22"/>
      </c>
    </row>
    <row r="375" hidden="1">
      <c r="A375" s="9">
        <f t="shared" si="23"/>
        <v>49</v>
      </c>
      <c r="B375" s="10">
        <f>IF(INDEX(rngYear,A375+1)&lt;&gt;0,INDEX(rngYear,A375+1),"")</f>
      </c>
      <c r="C375" s="11">
        <f>IFERROR(INDEX(rngData,MATCH($B375,rngYear,0),MATCH(OFFSET(C375,-$A375,0),rngColumnNames,0)),"")</f>
      </c>
      <c r="D375" s="11">
        <f>IFERROR(INDEX(rngData,MATCH($B375,rngYear,0),MATCH(OFFSET(D375,-$A375,0),rngColumnNames,0)),"")</f>
      </c>
      <c r="E375" s="11">
        <f>IFERROR(INDEX(rngData,MATCH($B375,rngYear,0),MATCH(OFFSET(E375,-$A375,0),rngColumnNames,0)),"")</f>
      </c>
      <c r="F375" s="11">
        <f>IFERROR(INDEX(rngData,MATCH($B375,rngYear,0),MATCH(OFFSET(F375,-$A375,0),rngColumnNames,0)),"")</f>
      </c>
      <c r="G375" s="11">
        <f t="shared" si="22"/>
      </c>
    </row>
    <row r="376" hidden="1">
      <c r="A376" s="9">
        <f t="shared" si="23"/>
        <v>50</v>
      </c>
      <c r="B376" s="10">
        <f>IF(INDEX(rngYear,A376+1)&lt;&gt;0,INDEX(rngYear,A376+1),"")</f>
      </c>
      <c r="C376" s="11">
        <f>IFERROR(INDEX(rngData,MATCH($B376,rngYear,0),MATCH(OFFSET(C376,-$A376,0),rngColumnNames,0)),"")</f>
      </c>
      <c r="D376" s="11">
        <f>IFERROR(INDEX(rngData,MATCH($B376,rngYear,0),MATCH(OFFSET(D376,-$A376,0),rngColumnNames,0)),"")</f>
      </c>
      <c r="E376" s="11">
        <f>IFERROR(INDEX(rngData,MATCH($B376,rngYear,0),MATCH(OFFSET(E376,-$A376,0),rngColumnNames,0)),"")</f>
      </c>
      <c r="F376" s="11">
        <f>IFERROR(INDEX(rngData,MATCH($B376,rngYear,0),MATCH(OFFSET(F376,-$A376,0),rngColumnNames,0)),"")</f>
      </c>
      <c r="G376" s="11">
        <f t="shared" si="22"/>
      </c>
    </row>
    <row r="377" hidden="1">
      <c r="A377" s="9">
        <f t="shared" si="23"/>
        <v>51</v>
      </c>
      <c r="B377" s="10">
        <f>IF(INDEX(rngYear,A377+1)&lt;&gt;0,INDEX(rngYear,A377+1),"")</f>
      </c>
      <c r="C377" s="11">
        <f>IFERROR(INDEX(rngData,MATCH($B377,rngYear,0),MATCH(OFFSET(C377,-$A377,0),rngColumnNames,0)),"")</f>
      </c>
      <c r="D377" s="11">
        <f>IFERROR(INDEX(rngData,MATCH($B377,rngYear,0),MATCH(OFFSET(D377,-$A377,0),rngColumnNames,0)),"")</f>
      </c>
      <c r="E377" s="11">
        <f>IFERROR(INDEX(rngData,MATCH($B377,rngYear,0),MATCH(OFFSET(E377,-$A377,0),rngColumnNames,0)),"")</f>
      </c>
      <c r="F377" s="11">
        <f>IFERROR(INDEX(rngData,MATCH($B377,rngYear,0),MATCH(OFFSET(F377,-$A377,0),rngColumnNames,0)),"")</f>
      </c>
      <c r="G377" s="11">
        <f t="shared" si="22"/>
      </c>
    </row>
    <row r="378" hidden="1">
      <c r="A378" s="9">
        <f t="shared" si="23"/>
        <v>52</v>
      </c>
      <c r="B378" s="10">
        <f>IF(INDEX(rngYear,A378+1)&lt;&gt;0,INDEX(rngYear,A378+1),"")</f>
      </c>
      <c r="C378" s="11">
        <f>IFERROR(INDEX(rngData,MATCH($B378,rngYear,0),MATCH(OFFSET(C378,-$A378,0),rngColumnNames,0)),"")</f>
      </c>
      <c r="D378" s="11">
        <f>IFERROR(INDEX(rngData,MATCH($B378,rngYear,0),MATCH(OFFSET(D378,-$A378,0),rngColumnNames,0)),"")</f>
      </c>
      <c r="E378" s="11">
        <f>IFERROR(INDEX(rngData,MATCH($B378,rngYear,0),MATCH(OFFSET(E378,-$A378,0),rngColumnNames,0)),"")</f>
      </c>
      <c r="F378" s="11">
        <f>IFERROR(INDEX(rngData,MATCH($B378,rngYear,0),MATCH(OFFSET(F378,-$A378,0),rngColumnNames,0)),"")</f>
      </c>
      <c r="G378" s="11">
        <f t="shared" si="22"/>
      </c>
    </row>
    <row r="379" hidden="1">
      <c r="A379" s="9">
        <f t="shared" si="23"/>
        <v>53</v>
      </c>
      <c r="B379" s="10">
        <f>IF(INDEX(rngYear,A379+1)&lt;&gt;0,INDEX(rngYear,A379+1),"")</f>
      </c>
      <c r="C379" s="11">
        <f>IFERROR(INDEX(rngData,MATCH($B379,rngYear,0),MATCH(OFFSET(C379,-$A379,0),rngColumnNames,0)),"")</f>
      </c>
      <c r="D379" s="11">
        <f>IFERROR(INDEX(rngData,MATCH($B379,rngYear,0),MATCH(OFFSET(D379,-$A379,0),rngColumnNames,0)),"")</f>
      </c>
      <c r="E379" s="11">
        <f>IFERROR(INDEX(rngData,MATCH($B379,rngYear,0),MATCH(OFFSET(E379,-$A379,0),rngColumnNames,0)),"")</f>
      </c>
      <c r="F379" s="11">
        <f>IFERROR(INDEX(rngData,MATCH($B379,rngYear,0),MATCH(OFFSET(F379,-$A379,0),rngColumnNames,0)),"")</f>
      </c>
      <c r="G379" s="11">
        <f t="shared" si="22"/>
      </c>
    </row>
    <row r="380" hidden="1">
      <c r="A380" s="9">
        <f t="shared" si="23"/>
        <v>54</v>
      </c>
      <c r="B380" s="10">
        <f>IF(INDEX(rngYear,A380+1)&lt;&gt;0,INDEX(rngYear,A380+1),"")</f>
      </c>
      <c r="C380" s="11">
        <f>IFERROR(INDEX(rngData,MATCH($B380,rngYear,0),MATCH(OFFSET(C380,-$A380,0),rngColumnNames,0)),"")</f>
      </c>
      <c r="D380" s="11">
        <f>IFERROR(INDEX(rngData,MATCH($B380,rngYear,0),MATCH(OFFSET(D380,-$A380,0),rngColumnNames,0)),"")</f>
      </c>
      <c r="E380" s="11">
        <f>IFERROR(INDEX(rngData,MATCH($B380,rngYear,0),MATCH(OFFSET(E380,-$A380,0),rngColumnNames,0)),"")</f>
      </c>
      <c r="F380" s="11">
        <f>IFERROR(INDEX(rngData,MATCH($B380,rngYear,0),MATCH(OFFSET(F380,-$A380,0),rngColumnNames,0)),"")</f>
      </c>
      <c r="G380" s="11">
        <f t="shared" si="22"/>
      </c>
    </row>
    <row r="381" hidden="1">
      <c r="A381" s="9">
        <f t="shared" si="23"/>
        <v>55</v>
      </c>
      <c r="B381" s="10">
        <f>IF(INDEX(rngYear,A381+1)&lt;&gt;0,INDEX(rngYear,A381+1),"")</f>
      </c>
      <c r="C381" s="11">
        <f>IFERROR(INDEX(rngData,MATCH($B381,rngYear,0),MATCH(OFFSET(C381,-$A381,0),rngColumnNames,0)),"")</f>
      </c>
      <c r="D381" s="11">
        <f>IFERROR(INDEX(rngData,MATCH($B381,rngYear,0),MATCH(OFFSET(D381,-$A381,0),rngColumnNames,0)),"")</f>
      </c>
      <c r="E381" s="11">
        <f>IFERROR(INDEX(rngData,MATCH($B381,rngYear,0),MATCH(OFFSET(E381,-$A381,0),rngColumnNames,0)),"")</f>
      </c>
      <c r="F381" s="11">
        <f>IFERROR(INDEX(rngData,MATCH($B381,rngYear,0),MATCH(OFFSET(F381,-$A381,0),rngColumnNames,0)),"")</f>
      </c>
      <c r="G381" s="11">
        <f t="shared" si="22"/>
      </c>
    </row>
    <row r="382" hidden="1">
      <c r="A382" s="9">
        <f t="shared" si="23"/>
        <v>56</v>
      </c>
      <c r="B382" s="10">
        <f>IF(INDEX(rngYear,A382+1)&lt;&gt;0,INDEX(rngYear,A382+1),"")</f>
      </c>
      <c r="C382" s="11">
        <f>IFERROR(INDEX(rngData,MATCH($B382,rngYear,0),MATCH(OFFSET(C382,-$A382,0),rngColumnNames,0)),"")</f>
      </c>
      <c r="D382" s="11">
        <f>IFERROR(INDEX(rngData,MATCH($B382,rngYear,0),MATCH(OFFSET(D382,-$A382,0),rngColumnNames,0)),"")</f>
      </c>
      <c r="E382" s="11">
        <f>IFERROR(INDEX(rngData,MATCH($B382,rngYear,0),MATCH(OFFSET(E382,-$A382,0),rngColumnNames,0)),"")</f>
      </c>
      <c r="F382" s="11">
        <f>IFERROR(INDEX(rngData,MATCH($B382,rngYear,0),MATCH(OFFSET(F382,-$A382,0),rngColumnNames,0)),"")</f>
      </c>
      <c r="G382" s="11">
        <f t="shared" si="22"/>
      </c>
    </row>
    <row r="383" hidden="1">
      <c r="A383" s="9">
        <f t="shared" si="23"/>
        <v>57</v>
      </c>
      <c r="B383" s="10">
        <f>IF(INDEX(rngYear,A383+1)&lt;&gt;0,INDEX(rngYear,A383+1),"")</f>
      </c>
      <c r="C383" s="11">
        <f>IFERROR(INDEX(rngData,MATCH($B383,rngYear,0),MATCH(OFFSET(C383,-$A383,0),rngColumnNames,0)),"")</f>
      </c>
      <c r="D383" s="11">
        <f>IFERROR(INDEX(rngData,MATCH($B383,rngYear,0),MATCH(OFFSET(D383,-$A383,0),rngColumnNames,0)),"")</f>
      </c>
      <c r="E383" s="11">
        <f>IFERROR(INDEX(rngData,MATCH($B383,rngYear,0),MATCH(OFFSET(E383,-$A383,0),rngColumnNames,0)),"")</f>
      </c>
      <c r="F383" s="11">
        <f>IFERROR(INDEX(rngData,MATCH($B383,rngYear,0),MATCH(OFFSET(F383,-$A383,0),rngColumnNames,0)),"")</f>
      </c>
      <c r="G383" s="11">
        <f t="shared" si="22"/>
      </c>
    </row>
    <row r="384" hidden="1">
      <c r="A384" s="9">
        <f t="shared" si="23"/>
        <v>58</v>
      </c>
      <c r="B384" s="10">
        <f>IF(INDEX(rngYear,A384+1)&lt;&gt;0,INDEX(rngYear,A384+1),"")</f>
      </c>
      <c r="C384" s="11">
        <f>IFERROR(INDEX(rngData,MATCH($B384,rngYear,0),MATCH(OFFSET(C384,-$A384,0),rngColumnNames,0)),"")</f>
      </c>
      <c r="D384" s="11">
        <f>IFERROR(INDEX(rngData,MATCH($B384,rngYear,0),MATCH(OFFSET(D384,-$A384,0),rngColumnNames,0)),"")</f>
      </c>
      <c r="E384" s="11">
        <f>IFERROR(INDEX(rngData,MATCH($B384,rngYear,0),MATCH(OFFSET(E384,-$A384,0),rngColumnNames,0)),"")</f>
      </c>
      <c r="F384" s="11">
        <f>IFERROR(INDEX(rngData,MATCH($B384,rngYear,0),MATCH(OFFSET(F384,-$A384,0),rngColumnNames,0)),"")</f>
      </c>
      <c r="G384" s="11">
        <f t="shared" si="22"/>
      </c>
    </row>
    <row r="385" hidden="1">
      <c r="A385" s="9">
        <f t="shared" si="23"/>
        <v>59</v>
      </c>
      <c r="B385" s="10">
        <f>IF(INDEX(rngYear,A385+1)&lt;&gt;0,INDEX(rngYear,A385+1),"")</f>
      </c>
      <c r="C385" s="11">
        <f>IFERROR(INDEX(rngData,MATCH($B385,rngYear,0),MATCH(OFFSET(C385,-$A385,0),rngColumnNames,0)),"")</f>
      </c>
      <c r="D385" s="11">
        <f>IFERROR(INDEX(rngData,MATCH($B385,rngYear,0),MATCH(OFFSET(D385,-$A385,0),rngColumnNames,0)),"")</f>
      </c>
      <c r="E385" s="11">
        <f>IFERROR(INDEX(rngData,MATCH($B385,rngYear,0),MATCH(OFFSET(E385,-$A385,0),rngColumnNames,0)),"")</f>
      </c>
      <c r="F385" s="11">
        <f>IFERROR(INDEX(rngData,MATCH($B385,rngYear,0),MATCH(OFFSET(F385,-$A385,0),rngColumnNames,0)),"")</f>
      </c>
      <c r="G385" s="11">
        <f t="shared" si="22"/>
      </c>
    </row>
    <row r="386" hidden="1">
      <c r="A386" s="9">
        <f t="shared" si="23"/>
        <v>60</v>
      </c>
      <c r="B386" s="10">
        <f>IF(INDEX(rngYear,A386+1)&lt;&gt;0,INDEX(rngYear,A386+1),"")</f>
      </c>
      <c r="C386" s="11">
        <f>IFERROR(INDEX(rngData,MATCH($B386,rngYear,0),MATCH(OFFSET(C386,-$A386,0),rngColumnNames,0)),"")</f>
      </c>
      <c r="D386" s="11">
        <f>IFERROR(INDEX(rngData,MATCH($B386,rngYear,0),MATCH(OFFSET(D386,-$A386,0),rngColumnNames,0)),"")</f>
      </c>
      <c r="E386" s="11">
        <f>IFERROR(INDEX(rngData,MATCH($B386,rngYear,0),MATCH(OFFSET(E386,-$A386,0),rngColumnNames,0)),"")</f>
      </c>
      <c r="F386" s="11">
        <f>IFERROR(INDEX(rngData,MATCH($B386,rngYear,0),MATCH(OFFSET(F386,-$A386,0),rngColumnNames,0)),"")</f>
      </c>
      <c r="G386" s="11">
        <f t="shared" si="22"/>
      </c>
    </row>
    <row r="388" ht="19.5" customHeight="1">
      <c r="A388" s="16" t="s">
        <v>101</v>
      </c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</row>
    <row r="389" ht="15" customHeight="1">
      <c r="B389" s="4"/>
      <c r="C389" s="5" t="s">
        <v>95</v>
      </c>
      <c r="D389" s="5" t="s">
        <v>81</v>
      </c>
      <c r="E389" s="17" t="s">
        <v>82</v>
      </c>
      <c r="F389" s="18"/>
      <c r="G389" s="19"/>
    </row>
    <row r="390" ht="22.5" customHeight="1">
      <c r="A390" s="6" t="s">
        <v>83</v>
      </c>
      <c r="B390" s="7" t="s">
        <v>4</v>
      </c>
      <c r="C390" s="7" t="s">
        <v>15</v>
      </c>
      <c r="D390" s="7" t="s">
        <v>16</v>
      </c>
      <c r="E390" s="7" t="s">
        <v>42</v>
      </c>
      <c r="F390" s="7" t="s">
        <v>43</v>
      </c>
      <c r="G390" s="8" t="s">
        <v>82</v>
      </c>
    </row>
    <row r="391">
      <c r="A391" s="9">
        <v>1</v>
      </c>
      <c r="B391" s="10">
        <f>IF(INDEX(rngYear,A391+1)&lt;&gt;0,INDEX(rngYear,A391+1),"")</f>
        <v>1980</v>
      </c>
      <c r="C391" s="11">
        <f>IFERROR(INDEX(rngData,MATCH($B391,rngYear,0),MATCH(OFFSET(C391,-$A391,0),rngColumnNames,0)),"")</f>
        <v>0</v>
      </c>
      <c r="D391" s="11">
        <f>IFERROR(INDEX(rngData,MATCH($B391,rngYear,0),MATCH(OFFSET(D391,-$A391,0),rngColumnNames,0)),"")</f>
        <v>0</v>
      </c>
      <c r="E391" s="11">
        <f>IFERROR(INDEX(rngData,MATCH($B391,rngYear,0),MATCH(OFFSET(E391,-$A391,0),rngColumnNames,0)),"")</f>
        <v>0</v>
      </c>
      <c r="F391" s="11">
        <f>IFERROR(INDEX(rngData,MATCH($B391,rngYear,0),MATCH(OFFSET(F391,-$A391,0),rngColumnNames,0)),"")</f>
        <v>0</v>
      </c>
      <c r="G391" s="11">
        <f ref="G391:G422" t="shared" si="24">IFERROR(F391-E391,"")</f>
        <v>0</v>
      </c>
    </row>
    <row r="392">
      <c r="A392" s="9">
        <f ref="A392:A423" t="shared" si="25">A391+1</f>
        <v>2</v>
      </c>
      <c r="B392" s="10">
        <f>IF(INDEX(rngYear,A392+1)&lt;&gt;0,INDEX(rngYear,A392+1),"")</f>
        <v>1981</v>
      </c>
      <c r="C392" s="11">
        <f>IFERROR(INDEX(rngData,MATCH($B392,rngYear,0),MATCH(OFFSET(C392,-$A392,0),rngColumnNames,0)),"")</f>
        <v>0</v>
      </c>
      <c r="D392" s="11">
        <f>IFERROR(INDEX(rngData,MATCH($B392,rngYear,0),MATCH(OFFSET(D392,-$A392,0),rngColumnNames,0)),"")</f>
        <v>0</v>
      </c>
      <c r="E392" s="11">
        <f>IFERROR(INDEX(rngData,MATCH($B392,rngYear,0),MATCH(OFFSET(E392,-$A392,0),rngColumnNames,0)),"")</f>
        <v>0</v>
      </c>
      <c r="F392" s="11">
        <f>IFERROR(INDEX(rngData,MATCH($B392,rngYear,0),MATCH(OFFSET(F392,-$A392,0),rngColumnNames,0)),"")</f>
        <v>0</v>
      </c>
      <c r="G392" s="11">
        <f t="shared" si="24"/>
        <v>0</v>
      </c>
    </row>
    <row r="393">
      <c r="A393" s="9">
        <f t="shared" si="25"/>
        <v>3</v>
      </c>
      <c r="B393" s="10">
        <f>IF(INDEX(rngYear,A393+1)&lt;&gt;0,INDEX(rngYear,A393+1),"")</f>
        <v>1982</v>
      </c>
      <c r="C393" s="11">
        <f>IFERROR(INDEX(rngData,MATCH($B393,rngYear,0),MATCH(OFFSET(C393,-$A393,0),rngColumnNames,0)),"")</f>
        <v>0</v>
      </c>
      <c r="D393" s="11">
        <f>IFERROR(INDEX(rngData,MATCH($B393,rngYear,0),MATCH(OFFSET(D393,-$A393,0),rngColumnNames,0)),"")</f>
        <v>0</v>
      </c>
      <c r="E393" s="11">
        <f>IFERROR(INDEX(rngData,MATCH($B393,rngYear,0),MATCH(OFFSET(E393,-$A393,0),rngColumnNames,0)),"")</f>
        <v>0</v>
      </c>
      <c r="F393" s="11">
        <f>IFERROR(INDEX(rngData,MATCH($B393,rngYear,0),MATCH(OFFSET(F393,-$A393,0),rngColumnNames,0)),"")</f>
        <v>0</v>
      </c>
      <c r="G393" s="11">
        <f t="shared" si="24"/>
        <v>0</v>
      </c>
    </row>
    <row r="394">
      <c r="A394" s="9">
        <f t="shared" si="25"/>
        <v>4</v>
      </c>
      <c r="B394" s="10">
        <f>IF(INDEX(rngYear,A394+1)&lt;&gt;0,INDEX(rngYear,A394+1),"")</f>
        <v>1983</v>
      </c>
      <c r="C394" s="11">
        <f>IFERROR(INDEX(rngData,MATCH($B394,rngYear,0),MATCH(OFFSET(C394,-$A394,0),rngColumnNames,0)),"")</f>
        <v>0</v>
      </c>
      <c r="D394" s="11">
        <f>IFERROR(INDEX(rngData,MATCH($B394,rngYear,0),MATCH(OFFSET(D394,-$A394,0),rngColumnNames,0)),"")</f>
        <v>0</v>
      </c>
      <c r="E394" s="11">
        <f>IFERROR(INDEX(rngData,MATCH($B394,rngYear,0),MATCH(OFFSET(E394,-$A394,0),rngColumnNames,0)),"")</f>
        <v>0</v>
      </c>
      <c r="F394" s="11">
        <f>IFERROR(INDEX(rngData,MATCH($B394,rngYear,0),MATCH(OFFSET(F394,-$A394,0),rngColumnNames,0)),"")</f>
        <v>0</v>
      </c>
      <c r="G394" s="11">
        <f t="shared" si="24"/>
        <v>0</v>
      </c>
    </row>
    <row r="395">
      <c r="A395" s="9">
        <f t="shared" si="25"/>
        <v>5</v>
      </c>
      <c r="B395" s="10">
        <f>IF(INDEX(rngYear,A395+1)&lt;&gt;0,INDEX(rngYear,A395+1),"")</f>
        <v>1984</v>
      </c>
      <c r="C395" s="11">
        <f>IFERROR(INDEX(rngData,MATCH($B395,rngYear,0),MATCH(OFFSET(C395,-$A395,0),rngColumnNames,0)),"")</f>
        <v>0</v>
      </c>
      <c r="D395" s="11">
        <f>IFERROR(INDEX(rngData,MATCH($B395,rngYear,0),MATCH(OFFSET(D395,-$A395,0),rngColumnNames,0)),"")</f>
        <v>0</v>
      </c>
      <c r="E395" s="11">
        <f>IFERROR(INDEX(rngData,MATCH($B395,rngYear,0),MATCH(OFFSET(E395,-$A395,0),rngColumnNames,0)),"")</f>
        <v>0</v>
      </c>
      <c r="F395" s="11">
        <f>IFERROR(INDEX(rngData,MATCH($B395,rngYear,0),MATCH(OFFSET(F395,-$A395,0),rngColumnNames,0)),"")</f>
        <v>0</v>
      </c>
      <c r="G395" s="11">
        <f t="shared" si="24"/>
        <v>0</v>
      </c>
    </row>
    <row r="396">
      <c r="A396" s="9">
        <f t="shared" si="25"/>
        <v>6</v>
      </c>
      <c r="B396" s="10">
        <f>IF(INDEX(rngYear,A396+1)&lt;&gt;0,INDEX(rngYear,A396+1),"")</f>
        <v>1985</v>
      </c>
      <c r="C396" s="11">
        <f>IFERROR(INDEX(rngData,MATCH($B396,rngYear,0),MATCH(OFFSET(C396,-$A396,0),rngColumnNames,0)),"")</f>
        <v>0</v>
      </c>
      <c r="D396" s="11">
        <f>IFERROR(INDEX(rngData,MATCH($B396,rngYear,0),MATCH(OFFSET(D396,-$A396,0),rngColumnNames,0)),"")</f>
        <v>0</v>
      </c>
      <c r="E396" s="11">
        <f>IFERROR(INDEX(rngData,MATCH($B396,rngYear,0),MATCH(OFFSET(E396,-$A396,0),rngColumnNames,0)),"")</f>
        <v>0</v>
      </c>
      <c r="F396" s="11">
        <f>IFERROR(INDEX(rngData,MATCH($B396,rngYear,0),MATCH(OFFSET(F396,-$A396,0),rngColumnNames,0)),"")</f>
        <v>0</v>
      </c>
      <c r="G396" s="11">
        <f t="shared" si="24"/>
        <v>0</v>
      </c>
    </row>
    <row r="397">
      <c r="A397" s="9">
        <f t="shared" si="25"/>
        <v>7</v>
      </c>
      <c r="B397" s="10">
        <f>IF(INDEX(rngYear,A397+1)&lt;&gt;0,INDEX(rngYear,A397+1),"")</f>
        <v>1986</v>
      </c>
      <c r="C397" s="11">
        <f>IFERROR(INDEX(rngData,MATCH($B397,rngYear,0),MATCH(OFFSET(C397,-$A397,0),rngColumnNames,0)),"")</f>
        <v>0</v>
      </c>
      <c r="D397" s="11">
        <f>IFERROR(INDEX(rngData,MATCH($B397,rngYear,0),MATCH(OFFSET(D397,-$A397,0),rngColumnNames,0)),"")</f>
        <v>0</v>
      </c>
      <c r="E397" s="11">
        <f>IFERROR(INDEX(rngData,MATCH($B397,rngYear,0),MATCH(OFFSET(E397,-$A397,0),rngColumnNames,0)),"")</f>
        <v>0</v>
      </c>
      <c r="F397" s="11">
        <f>IFERROR(INDEX(rngData,MATCH($B397,rngYear,0),MATCH(OFFSET(F397,-$A397,0),rngColumnNames,0)),"")</f>
        <v>0</v>
      </c>
      <c r="G397" s="11">
        <f t="shared" si="24"/>
        <v>0</v>
      </c>
    </row>
    <row r="398">
      <c r="A398" s="9">
        <f t="shared" si="25"/>
        <v>8</v>
      </c>
      <c r="B398" s="10">
        <f>IF(INDEX(rngYear,A398+1)&lt;&gt;0,INDEX(rngYear,A398+1),"")</f>
        <v>1987</v>
      </c>
      <c r="C398" s="11">
        <f>IFERROR(INDEX(rngData,MATCH($B398,rngYear,0),MATCH(OFFSET(C398,-$A398,0),rngColumnNames,0)),"")</f>
        <v>0</v>
      </c>
      <c r="D398" s="11">
        <f>IFERROR(INDEX(rngData,MATCH($B398,rngYear,0),MATCH(OFFSET(D398,-$A398,0),rngColumnNames,0)),"")</f>
        <v>0</v>
      </c>
      <c r="E398" s="11">
        <f>IFERROR(INDEX(rngData,MATCH($B398,rngYear,0),MATCH(OFFSET(E398,-$A398,0),rngColumnNames,0)),"")</f>
        <v>0</v>
      </c>
      <c r="F398" s="11">
        <f>IFERROR(INDEX(rngData,MATCH($B398,rngYear,0),MATCH(OFFSET(F398,-$A398,0),rngColumnNames,0)),"")</f>
        <v>0</v>
      </c>
      <c r="G398" s="11">
        <f t="shared" si="24"/>
        <v>0</v>
      </c>
    </row>
    <row r="399">
      <c r="A399" s="9">
        <f t="shared" si="25"/>
        <v>9</v>
      </c>
      <c r="B399" s="10">
        <f>IF(INDEX(rngYear,A399+1)&lt;&gt;0,INDEX(rngYear,A399+1),"")</f>
        <v>1988</v>
      </c>
      <c r="C399" s="11">
        <f>IFERROR(INDEX(rngData,MATCH($B399,rngYear,0),MATCH(OFFSET(C399,-$A399,0),rngColumnNames,0)),"")</f>
        <v>0</v>
      </c>
      <c r="D399" s="11">
        <f>IFERROR(INDEX(rngData,MATCH($B399,rngYear,0),MATCH(OFFSET(D399,-$A399,0),rngColumnNames,0)),"")</f>
        <v>0</v>
      </c>
      <c r="E399" s="11">
        <f>IFERROR(INDEX(rngData,MATCH($B399,rngYear,0),MATCH(OFFSET(E399,-$A399,0),rngColumnNames,0)),"")</f>
        <v>0</v>
      </c>
      <c r="F399" s="11">
        <f>IFERROR(INDEX(rngData,MATCH($B399,rngYear,0),MATCH(OFFSET(F399,-$A399,0),rngColumnNames,0)),"")</f>
        <v>0</v>
      </c>
      <c r="G399" s="11">
        <f t="shared" si="24"/>
        <v>0</v>
      </c>
    </row>
    <row r="400">
      <c r="A400" s="9">
        <f t="shared" si="25"/>
        <v>10</v>
      </c>
      <c r="B400" s="10">
        <f>IF(INDEX(rngYear,A400+1)&lt;&gt;0,INDEX(rngYear,A400+1),"")</f>
        <v>1989</v>
      </c>
      <c r="C400" s="11">
        <f>IFERROR(INDEX(rngData,MATCH($B400,rngYear,0),MATCH(OFFSET(C400,-$A400,0),rngColumnNames,0)),"")</f>
        <v>0</v>
      </c>
      <c r="D400" s="11">
        <f>IFERROR(INDEX(rngData,MATCH($B400,rngYear,0),MATCH(OFFSET(D400,-$A400,0),rngColumnNames,0)),"")</f>
        <v>0</v>
      </c>
      <c r="E400" s="11">
        <f>IFERROR(INDEX(rngData,MATCH($B400,rngYear,0),MATCH(OFFSET(E400,-$A400,0),rngColumnNames,0)),"")</f>
        <v>0</v>
      </c>
      <c r="F400" s="11">
        <f>IFERROR(INDEX(rngData,MATCH($B400,rngYear,0),MATCH(OFFSET(F400,-$A400,0),rngColumnNames,0)),"")</f>
        <v>0</v>
      </c>
      <c r="G400" s="11">
        <f t="shared" si="24"/>
        <v>0</v>
      </c>
    </row>
    <row r="401">
      <c r="A401" s="9">
        <f t="shared" si="25"/>
        <v>11</v>
      </c>
      <c r="B401" s="10">
        <f>IF(INDEX(rngYear,A401+1)&lt;&gt;0,INDEX(rngYear,A401+1),"")</f>
        <v>1990</v>
      </c>
      <c r="C401" s="11">
        <f>IFERROR(INDEX(rngData,MATCH($B401,rngYear,0),MATCH(OFFSET(C401,-$A401,0),rngColumnNames,0)),"")</f>
        <v>0</v>
      </c>
      <c r="D401" s="11">
        <f>IFERROR(INDEX(rngData,MATCH($B401,rngYear,0),MATCH(OFFSET(D401,-$A401,0),rngColumnNames,0)),"")</f>
        <v>0</v>
      </c>
      <c r="E401" s="11">
        <f>IFERROR(INDEX(rngData,MATCH($B401,rngYear,0),MATCH(OFFSET(E401,-$A401,0),rngColumnNames,0)),"")</f>
        <v>0</v>
      </c>
      <c r="F401" s="11">
        <f>IFERROR(INDEX(rngData,MATCH($B401,rngYear,0),MATCH(OFFSET(F401,-$A401,0),rngColumnNames,0)),"")</f>
        <v>0</v>
      </c>
      <c r="G401" s="11">
        <f t="shared" si="24"/>
        <v>0</v>
      </c>
    </row>
    <row r="402">
      <c r="A402" s="9">
        <f t="shared" si="25"/>
        <v>12</v>
      </c>
      <c r="B402" s="10">
        <f>IF(INDEX(rngYear,A402+1)&lt;&gt;0,INDEX(rngYear,A402+1),"")</f>
        <v>1991</v>
      </c>
      <c r="C402" s="11">
        <f>IFERROR(INDEX(rngData,MATCH($B402,rngYear,0),MATCH(OFFSET(C402,-$A402,0),rngColumnNames,0)),"")</f>
        <v>0</v>
      </c>
      <c r="D402" s="11">
        <f>IFERROR(INDEX(rngData,MATCH($B402,rngYear,0),MATCH(OFFSET(D402,-$A402,0),rngColumnNames,0)),"")</f>
        <v>0</v>
      </c>
      <c r="E402" s="11">
        <f>IFERROR(INDEX(rngData,MATCH($B402,rngYear,0),MATCH(OFFSET(E402,-$A402,0),rngColumnNames,0)),"")</f>
        <v>0</v>
      </c>
      <c r="F402" s="11">
        <f>IFERROR(INDEX(rngData,MATCH($B402,rngYear,0),MATCH(OFFSET(F402,-$A402,0),rngColumnNames,0)),"")</f>
        <v>0</v>
      </c>
      <c r="G402" s="11">
        <f t="shared" si="24"/>
        <v>0</v>
      </c>
    </row>
    <row r="403">
      <c r="A403" s="9">
        <f t="shared" si="25"/>
        <v>13</v>
      </c>
      <c r="B403" s="10">
        <f>IF(INDEX(rngYear,A403+1)&lt;&gt;0,INDEX(rngYear,A403+1),"")</f>
        <v>1992</v>
      </c>
      <c r="C403" s="11">
        <f>IFERROR(INDEX(rngData,MATCH($B403,rngYear,0),MATCH(OFFSET(C403,-$A403,0),rngColumnNames,0)),"")</f>
        <v>0</v>
      </c>
      <c r="D403" s="11">
        <f>IFERROR(INDEX(rngData,MATCH($B403,rngYear,0),MATCH(OFFSET(D403,-$A403,0),rngColumnNames,0)),"")</f>
        <v>0</v>
      </c>
      <c r="E403" s="11">
        <f>IFERROR(INDEX(rngData,MATCH($B403,rngYear,0),MATCH(OFFSET(E403,-$A403,0),rngColumnNames,0)),"")</f>
        <v>0</v>
      </c>
      <c r="F403" s="11">
        <f>IFERROR(INDEX(rngData,MATCH($B403,rngYear,0),MATCH(OFFSET(F403,-$A403,0),rngColumnNames,0)),"")</f>
        <v>0</v>
      </c>
      <c r="G403" s="11">
        <f t="shared" si="24"/>
        <v>0</v>
      </c>
    </row>
    <row r="404">
      <c r="A404" s="9">
        <f t="shared" si="25"/>
        <v>14</v>
      </c>
      <c r="B404" s="10">
        <f>IF(INDEX(rngYear,A404+1)&lt;&gt;0,INDEX(rngYear,A404+1),"")</f>
        <v>1993</v>
      </c>
      <c r="C404" s="11">
        <f>IFERROR(INDEX(rngData,MATCH($B404,rngYear,0),MATCH(OFFSET(C404,-$A404,0),rngColumnNames,0)),"")</f>
        <v>0</v>
      </c>
      <c r="D404" s="11">
        <f>IFERROR(INDEX(rngData,MATCH($B404,rngYear,0),MATCH(OFFSET(D404,-$A404,0),rngColumnNames,0)),"")</f>
        <v>0</v>
      </c>
      <c r="E404" s="11">
        <f>IFERROR(INDEX(rngData,MATCH($B404,rngYear,0),MATCH(OFFSET(E404,-$A404,0),rngColumnNames,0)),"")</f>
        <v>0</v>
      </c>
      <c r="F404" s="11">
        <f>IFERROR(INDEX(rngData,MATCH($B404,rngYear,0),MATCH(OFFSET(F404,-$A404,0),rngColumnNames,0)),"")</f>
        <v>0</v>
      </c>
      <c r="G404" s="11">
        <f t="shared" si="24"/>
        <v>0</v>
      </c>
    </row>
    <row r="405">
      <c r="A405" s="9">
        <f t="shared" si="25"/>
        <v>15</v>
      </c>
      <c r="B405" s="10">
        <f>IF(INDEX(rngYear,A405+1)&lt;&gt;0,INDEX(rngYear,A405+1),"")</f>
        <v>1994</v>
      </c>
      <c r="C405" s="11">
        <f>IFERROR(INDEX(rngData,MATCH($B405,rngYear,0),MATCH(OFFSET(C405,-$A405,0),rngColumnNames,0)),"")</f>
        <v>0</v>
      </c>
      <c r="D405" s="11">
        <f>IFERROR(INDEX(rngData,MATCH($B405,rngYear,0),MATCH(OFFSET(D405,-$A405,0),rngColumnNames,0)),"")</f>
        <v>0</v>
      </c>
      <c r="E405" s="11">
        <f>IFERROR(INDEX(rngData,MATCH($B405,rngYear,0),MATCH(OFFSET(E405,-$A405,0),rngColumnNames,0)),"")</f>
        <v>0</v>
      </c>
      <c r="F405" s="11">
        <f>IFERROR(INDEX(rngData,MATCH($B405,rngYear,0),MATCH(OFFSET(F405,-$A405,0),rngColumnNames,0)),"")</f>
        <v>0</v>
      </c>
      <c r="G405" s="11">
        <f t="shared" si="24"/>
        <v>0</v>
      </c>
    </row>
    <row r="406">
      <c r="A406" s="9">
        <f t="shared" si="25"/>
        <v>16</v>
      </c>
      <c r="B406" s="10">
        <f>IF(INDEX(rngYear,A406+1)&lt;&gt;0,INDEX(rngYear,A406+1),"")</f>
        <v>1995</v>
      </c>
      <c r="C406" s="11">
        <f>IFERROR(INDEX(rngData,MATCH($B406,rngYear,0),MATCH(OFFSET(C406,-$A406,0),rngColumnNames,0)),"")</f>
        <v>0</v>
      </c>
      <c r="D406" s="11">
        <f>IFERROR(INDEX(rngData,MATCH($B406,rngYear,0),MATCH(OFFSET(D406,-$A406,0),rngColumnNames,0)),"")</f>
        <v>0</v>
      </c>
      <c r="E406" s="11">
        <f>IFERROR(INDEX(rngData,MATCH($B406,rngYear,0),MATCH(OFFSET(E406,-$A406,0),rngColumnNames,0)),"")</f>
        <v>0</v>
      </c>
      <c r="F406" s="11">
        <f>IFERROR(INDEX(rngData,MATCH($B406,rngYear,0),MATCH(OFFSET(F406,-$A406,0),rngColumnNames,0)),"")</f>
        <v>0</v>
      </c>
      <c r="G406" s="11">
        <f t="shared" si="24"/>
        <v>0</v>
      </c>
    </row>
    <row r="407">
      <c r="A407" s="9">
        <f t="shared" si="25"/>
        <v>17</v>
      </c>
      <c r="B407" s="10">
        <f>IF(INDEX(rngYear,A407+1)&lt;&gt;0,INDEX(rngYear,A407+1),"")</f>
        <v>1996</v>
      </c>
      <c r="C407" s="11">
        <f>IFERROR(INDEX(rngData,MATCH($B407,rngYear,0),MATCH(OFFSET(C407,-$A407,0),rngColumnNames,0)),"")</f>
        <v>0</v>
      </c>
      <c r="D407" s="11">
        <f>IFERROR(INDEX(rngData,MATCH($B407,rngYear,0),MATCH(OFFSET(D407,-$A407,0),rngColumnNames,0)),"")</f>
        <v>0</v>
      </c>
      <c r="E407" s="11">
        <f>IFERROR(INDEX(rngData,MATCH($B407,rngYear,0),MATCH(OFFSET(E407,-$A407,0),rngColumnNames,0)),"")</f>
        <v>0</v>
      </c>
      <c r="F407" s="11">
        <f>IFERROR(INDEX(rngData,MATCH($B407,rngYear,0),MATCH(OFFSET(F407,-$A407,0),rngColumnNames,0)),"")</f>
        <v>0</v>
      </c>
      <c r="G407" s="11">
        <f t="shared" si="24"/>
        <v>0</v>
      </c>
    </row>
    <row r="408">
      <c r="A408" s="9">
        <f t="shared" si="25"/>
        <v>18</v>
      </c>
      <c r="B408" s="10">
        <f>IF(INDEX(rngYear,A408+1)&lt;&gt;0,INDEX(rngYear,A408+1),"")</f>
        <v>1997</v>
      </c>
      <c r="C408" s="11">
        <f>IFERROR(INDEX(rngData,MATCH($B408,rngYear,0),MATCH(OFFSET(C408,-$A408,0),rngColumnNames,0)),"")</f>
        <v>0</v>
      </c>
      <c r="D408" s="11">
        <f>IFERROR(INDEX(rngData,MATCH($B408,rngYear,0),MATCH(OFFSET(D408,-$A408,0),rngColumnNames,0)),"")</f>
        <v>0</v>
      </c>
      <c r="E408" s="11">
        <f>IFERROR(INDEX(rngData,MATCH($B408,rngYear,0),MATCH(OFFSET(E408,-$A408,0),rngColumnNames,0)),"")</f>
        <v>0</v>
      </c>
      <c r="F408" s="11">
        <f>IFERROR(INDEX(rngData,MATCH($B408,rngYear,0),MATCH(OFFSET(F408,-$A408,0),rngColumnNames,0)),"")</f>
        <v>0</v>
      </c>
      <c r="G408" s="11">
        <f t="shared" si="24"/>
        <v>0</v>
      </c>
    </row>
    <row r="409">
      <c r="A409" s="9">
        <f t="shared" si="25"/>
        <v>19</v>
      </c>
      <c r="B409" s="10">
        <f>IF(INDEX(rngYear,A409+1)&lt;&gt;0,INDEX(rngYear,A409+1),"")</f>
        <v>1998</v>
      </c>
      <c r="C409" s="11">
        <f>IFERROR(INDEX(rngData,MATCH($B409,rngYear,0),MATCH(OFFSET(C409,-$A409,0),rngColumnNames,0)),"")</f>
        <v>0</v>
      </c>
      <c r="D409" s="11">
        <f>IFERROR(INDEX(rngData,MATCH($B409,rngYear,0),MATCH(OFFSET(D409,-$A409,0),rngColumnNames,0)),"")</f>
        <v>0</v>
      </c>
      <c r="E409" s="11">
        <f>IFERROR(INDEX(rngData,MATCH($B409,rngYear,0),MATCH(OFFSET(E409,-$A409,0),rngColumnNames,0)),"")</f>
        <v>0</v>
      </c>
      <c r="F409" s="11">
        <f>IFERROR(INDEX(rngData,MATCH($B409,rngYear,0),MATCH(OFFSET(F409,-$A409,0),rngColumnNames,0)),"")</f>
        <v>0</v>
      </c>
      <c r="G409" s="11">
        <f t="shared" si="24"/>
        <v>0</v>
      </c>
    </row>
    <row r="410">
      <c r="A410" s="9">
        <f t="shared" si="25"/>
        <v>20</v>
      </c>
      <c r="B410" s="10">
        <f>IF(INDEX(rngYear,A410+1)&lt;&gt;0,INDEX(rngYear,A410+1),"")</f>
        <v>1999</v>
      </c>
      <c r="C410" s="11">
        <f>IFERROR(INDEX(rngData,MATCH($B410,rngYear,0),MATCH(OFFSET(C410,-$A410,0),rngColumnNames,0)),"")</f>
        <v>0</v>
      </c>
      <c r="D410" s="11">
        <f>IFERROR(INDEX(rngData,MATCH($B410,rngYear,0),MATCH(OFFSET(D410,-$A410,0),rngColumnNames,0)),"")</f>
        <v>0</v>
      </c>
      <c r="E410" s="11">
        <f>IFERROR(INDEX(rngData,MATCH($B410,rngYear,0),MATCH(OFFSET(E410,-$A410,0),rngColumnNames,0)),"")</f>
        <v>0</v>
      </c>
      <c r="F410" s="11">
        <f>IFERROR(INDEX(rngData,MATCH($B410,rngYear,0),MATCH(OFFSET(F410,-$A410,0),rngColumnNames,0)),"")</f>
        <v>0</v>
      </c>
      <c r="G410" s="11">
        <f t="shared" si="24"/>
        <v>0</v>
      </c>
    </row>
    <row r="411">
      <c r="A411" s="9">
        <f t="shared" si="25"/>
        <v>21</v>
      </c>
      <c r="B411" s="10">
        <f>IF(INDEX(rngYear,A411+1)&lt;&gt;0,INDEX(rngYear,A411+1),"")</f>
        <v>2000</v>
      </c>
      <c r="C411" s="11">
        <f>IFERROR(INDEX(rngData,MATCH($B411,rngYear,0),MATCH(OFFSET(C411,-$A411,0),rngColumnNames,0)),"")</f>
        <v>0</v>
      </c>
      <c r="D411" s="11">
        <f>IFERROR(INDEX(rngData,MATCH($B411,rngYear,0),MATCH(OFFSET(D411,-$A411,0),rngColumnNames,0)),"")</f>
        <v>0</v>
      </c>
      <c r="E411" s="11">
        <f>IFERROR(INDEX(rngData,MATCH($B411,rngYear,0),MATCH(OFFSET(E411,-$A411,0),rngColumnNames,0)),"")</f>
        <v>0</v>
      </c>
      <c r="F411" s="11">
        <f>IFERROR(INDEX(rngData,MATCH($B411,rngYear,0),MATCH(OFFSET(F411,-$A411,0),rngColumnNames,0)),"")</f>
        <v>0</v>
      </c>
      <c r="G411" s="11">
        <f t="shared" si="24"/>
        <v>0</v>
      </c>
    </row>
    <row r="412">
      <c r="A412" s="9">
        <f t="shared" si="25"/>
        <v>22</v>
      </c>
      <c r="B412" s="10">
        <f>IF(INDEX(rngYear,A412+1)&lt;&gt;0,INDEX(rngYear,A412+1),"")</f>
        <v>2001</v>
      </c>
      <c r="C412" s="11">
        <f>IFERROR(INDEX(rngData,MATCH($B412,rngYear,0),MATCH(OFFSET(C412,-$A412,0),rngColumnNames,0)),"")</f>
        <v>0</v>
      </c>
      <c r="D412" s="11">
        <f>IFERROR(INDEX(rngData,MATCH($B412,rngYear,0),MATCH(OFFSET(D412,-$A412,0),rngColumnNames,0)),"")</f>
        <v>0</v>
      </c>
      <c r="E412" s="11">
        <f>IFERROR(INDEX(rngData,MATCH($B412,rngYear,0),MATCH(OFFSET(E412,-$A412,0),rngColumnNames,0)),"")</f>
        <v>0</v>
      </c>
      <c r="F412" s="11">
        <f>IFERROR(INDEX(rngData,MATCH($B412,rngYear,0),MATCH(OFFSET(F412,-$A412,0),rngColumnNames,0)),"")</f>
        <v>0</v>
      </c>
      <c r="G412" s="11">
        <f t="shared" si="24"/>
        <v>0</v>
      </c>
    </row>
    <row r="413">
      <c r="A413" s="9">
        <f t="shared" si="25"/>
        <v>23</v>
      </c>
      <c r="B413" s="10">
        <f>IF(INDEX(rngYear,A413+1)&lt;&gt;0,INDEX(rngYear,A413+1),"")</f>
        <v>2002</v>
      </c>
      <c r="C413" s="11">
        <f>IFERROR(INDEX(rngData,MATCH($B413,rngYear,0),MATCH(OFFSET(C413,-$A413,0),rngColumnNames,0)),"")</f>
        <v>0</v>
      </c>
      <c r="D413" s="11">
        <f>IFERROR(INDEX(rngData,MATCH($B413,rngYear,0),MATCH(OFFSET(D413,-$A413,0),rngColumnNames,0)),"")</f>
        <v>0</v>
      </c>
      <c r="E413" s="11">
        <f>IFERROR(INDEX(rngData,MATCH($B413,rngYear,0),MATCH(OFFSET(E413,-$A413,0),rngColumnNames,0)),"")</f>
        <v>0</v>
      </c>
      <c r="F413" s="11">
        <f>IFERROR(INDEX(rngData,MATCH($B413,rngYear,0),MATCH(OFFSET(F413,-$A413,0),rngColumnNames,0)),"")</f>
        <v>0</v>
      </c>
      <c r="G413" s="11">
        <f t="shared" si="24"/>
        <v>0</v>
      </c>
    </row>
    <row r="414">
      <c r="A414" s="9">
        <f t="shared" si="25"/>
        <v>24</v>
      </c>
      <c r="B414" s="10">
        <f>IF(INDEX(rngYear,A414+1)&lt;&gt;0,INDEX(rngYear,A414+1),"")</f>
        <v>2003</v>
      </c>
      <c r="C414" s="11">
        <f>IFERROR(INDEX(rngData,MATCH($B414,rngYear,0),MATCH(OFFSET(C414,-$A414,0),rngColumnNames,0)),"")</f>
        <v>0</v>
      </c>
      <c r="D414" s="11">
        <f>IFERROR(INDEX(rngData,MATCH($B414,rngYear,0),MATCH(OFFSET(D414,-$A414,0),rngColumnNames,0)),"")</f>
        <v>0</v>
      </c>
      <c r="E414" s="11">
        <f>IFERROR(INDEX(rngData,MATCH($B414,rngYear,0),MATCH(OFFSET(E414,-$A414,0),rngColumnNames,0)),"")</f>
        <v>0</v>
      </c>
      <c r="F414" s="11">
        <f>IFERROR(INDEX(rngData,MATCH($B414,rngYear,0),MATCH(OFFSET(F414,-$A414,0),rngColumnNames,0)),"")</f>
        <v>0</v>
      </c>
      <c r="G414" s="11">
        <f t="shared" si="24"/>
        <v>0</v>
      </c>
    </row>
    <row r="415">
      <c r="A415" s="9">
        <f t="shared" si="25"/>
        <v>25</v>
      </c>
      <c r="B415" s="10">
        <f>IF(INDEX(rngYear,A415+1)&lt;&gt;0,INDEX(rngYear,A415+1),"")</f>
        <v>2004</v>
      </c>
      <c r="C415" s="11">
        <f>IFERROR(INDEX(rngData,MATCH($B415,rngYear,0),MATCH(OFFSET(C415,-$A415,0),rngColumnNames,0)),"")</f>
        <v>0</v>
      </c>
      <c r="D415" s="11">
        <f>IFERROR(INDEX(rngData,MATCH($B415,rngYear,0),MATCH(OFFSET(D415,-$A415,0),rngColumnNames,0)),"")</f>
        <v>0</v>
      </c>
      <c r="E415" s="11">
        <f>IFERROR(INDEX(rngData,MATCH($B415,rngYear,0),MATCH(OFFSET(E415,-$A415,0),rngColumnNames,0)),"")</f>
        <v>0</v>
      </c>
      <c r="F415" s="11">
        <f>IFERROR(INDEX(rngData,MATCH($B415,rngYear,0),MATCH(OFFSET(F415,-$A415,0),rngColumnNames,0)),"")</f>
        <v>0</v>
      </c>
      <c r="G415" s="11">
        <f t="shared" si="24"/>
        <v>0</v>
      </c>
    </row>
    <row r="416">
      <c r="A416" s="9">
        <f t="shared" si="25"/>
        <v>26</v>
      </c>
      <c r="B416" s="10">
        <f>IF(INDEX(rngYear,A416+1)&lt;&gt;0,INDEX(rngYear,A416+1),"")</f>
        <v>2005</v>
      </c>
      <c r="C416" s="11">
        <f>IFERROR(INDEX(rngData,MATCH($B416,rngYear,0),MATCH(OFFSET(C416,-$A416,0),rngColumnNames,0)),"")</f>
        <v>0</v>
      </c>
      <c r="D416" s="11">
        <f>IFERROR(INDEX(rngData,MATCH($B416,rngYear,0),MATCH(OFFSET(D416,-$A416,0),rngColumnNames,0)),"")</f>
        <v>0</v>
      </c>
      <c r="E416" s="11">
        <f>IFERROR(INDEX(rngData,MATCH($B416,rngYear,0),MATCH(OFFSET(E416,-$A416,0),rngColumnNames,0)),"")</f>
        <v>0</v>
      </c>
      <c r="F416" s="11">
        <f>IFERROR(INDEX(rngData,MATCH($B416,rngYear,0),MATCH(OFFSET(F416,-$A416,0),rngColumnNames,0)),"")</f>
        <v>0</v>
      </c>
      <c r="G416" s="11">
        <f t="shared" si="24"/>
        <v>0</v>
      </c>
    </row>
    <row r="417">
      <c r="A417" s="9">
        <f t="shared" si="25"/>
        <v>27</v>
      </c>
      <c r="B417" s="10">
        <f>IF(INDEX(rngYear,A417+1)&lt;&gt;0,INDEX(rngYear,A417+1),"")</f>
        <v>2006</v>
      </c>
      <c r="C417" s="11">
        <f>IFERROR(INDEX(rngData,MATCH($B417,rngYear,0),MATCH(OFFSET(C417,-$A417,0),rngColumnNames,0)),"")</f>
        <v>0</v>
      </c>
      <c r="D417" s="11">
        <f>IFERROR(INDEX(rngData,MATCH($B417,rngYear,0),MATCH(OFFSET(D417,-$A417,0),rngColumnNames,0)),"")</f>
        <v>0</v>
      </c>
      <c r="E417" s="11">
        <f>IFERROR(INDEX(rngData,MATCH($B417,rngYear,0),MATCH(OFFSET(E417,-$A417,0),rngColumnNames,0)),"")</f>
        <v>0</v>
      </c>
      <c r="F417" s="11">
        <f>IFERROR(INDEX(rngData,MATCH($B417,rngYear,0),MATCH(OFFSET(F417,-$A417,0),rngColumnNames,0)),"")</f>
        <v>0</v>
      </c>
      <c r="G417" s="11">
        <f t="shared" si="24"/>
        <v>0</v>
      </c>
    </row>
    <row r="418">
      <c r="A418" s="9">
        <f t="shared" si="25"/>
        <v>28</v>
      </c>
      <c r="B418" s="10">
        <f>IF(INDEX(rngYear,A418+1)&lt;&gt;0,INDEX(rngYear,A418+1),"")</f>
        <v>2007</v>
      </c>
      <c r="C418" s="11">
        <f>IFERROR(INDEX(rngData,MATCH($B418,rngYear,0),MATCH(OFFSET(C418,-$A418,0),rngColumnNames,0)),"")</f>
        <v>0</v>
      </c>
      <c r="D418" s="11">
        <f>IFERROR(INDEX(rngData,MATCH($B418,rngYear,0),MATCH(OFFSET(D418,-$A418,0),rngColumnNames,0)),"")</f>
        <v>0</v>
      </c>
      <c r="E418" s="11">
        <f>IFERROR(INDEX(rngData,MATCH($B418,rngYear,0),MATCH(OFFSET(E418,-$A418,0),rngColumnNames,0)),"")</f>
        <v>0</v>
      </c>
      <c r="F418" s="11">
        <f>IFERROR(INDEX(rngData,MATCH($B418,rngYear,0),MATCH(OFFSET(F418,-$A418,0),rngColumnNames,0)),"")</f>
        <v>0</v>
      </c>
      <c r="G418" s="11">
        <f t="shared" si="24"/>
        <v>0</v>
      </c>
    </row>
    <row r="419">
      <c r="A419" s="9">
        <f t="shared" si="25"/>
        <v>29</v>
      </c>
      <c r="B419" s="10">
        <f>IF(INDEX(rngYear,A419+1)&lt;&gt;0,INDEX(rngYear,A419+1),"")</f>
        <v>2008</v>
      </c>
      <c r="C419" s="11">
        <f>IFERROR(INDEX(rngData,MATCH($B419,rngYear,0),MATCH(OFFSET(C419,-$A419,0),rngColumnNames,0)),"")</f>
        <v>0</v>
      </c>
      <c r="D419" s="11">
        <f>IFERROR(INDEX(rngData,MATCH($B419,rngYear,0),MATCH(OFFSET(D419,-$A419,0),rngColumnNames,0)),"")</f>
        <v>0</v>
      </c>
      <c r="E419" s="11">
        <f>IFERROR(INDEX(rngData,MATCH($B419,rngYear,0),MATCH(OFFSET(E419,-$A419,0),rngColumnNames,0)),"")</f>
        <v>0</v>
      </c>
      <c r="F419" s="11">
        <f>IFERROR(INDEX(rngData,MATCH($B419,rngYear,0),MATCH(OFFSET(F419,-$A419,0),rngColumnNames,0)),"")</f>
        <v>0</v>
      </c>
      <c r="G419" s="11">
        <f t="shared" si="24"/>
        <v>0</v>
      </c>
    </row>
    <row r="420">
      <c r="A420" s="9">
        <f t="shared" si="25"/>
        <v>30</v>
      </c>
      <c r="B420" s="10">
        <f>IF(INDEX(rngYear,A420+1)&lt;&gt;0,INDEX(rngYear,A420+1),"")</f>
        <v>2009</v>
      </c>
      <c r="C420" s="11">
        <f>IFERROR(INDEX(rngData,MATCH($B420,rngYear,0),MATCH(OFFSET(C420,-$A420,0),rngColumnNames,0)),"")</f>
        <v>0</v>
      </c>
      <c r="D420" s="11">
        <f>IFERROR(INDEX(rngData,MATCH($B420,rngYear,0),MATCH(OFFSET(D420,-$A420,0),rngColumnNames,0)),"")</f>
        <v>0</v>
      </c>
      <c r="E420" s="11">
        <f>IFERROR(INDEX(rngData,MATCH($B420,rngYear,0),MATCH(OFFSET(E420,-$A420,0),rngColumnNames,0)),"")</f>
        <v>0</v>
      </c>
      <c r="F420" s="11">
        <f>IFERROR(INDEX(rngData,MATCH($B420,rngYear,0),MATCH(OFFSET(F420,-$A420,0),rngColumnNames,0)),"")</f>
        <v>0</v>
      </c>
      <c r="G420" s="11">
        <f t="shared" si="24"/>
        <v>0</v>
      </c>
    </row>
    <row r="421">
      <c r="A421" s="9">
        <f t="shared" si="25"/>
        <v>31</v>
      </c>
      <c r="B421" s="10">
        <f>IF(INDEX(rngYear,A421+1)&lt;&gt;0,INDEX(rngYear,A421+1),"")</f>
        <v>2010</v>
      </c>
      <c r="C421" s="11">
        <f>IFERROR(INDEX(rngData,MATCH($B421,rngYear,0),MATCH(OFFSET(C421,-$A421,0),rngColumnNames,0)),"")</f>
        <v>0</v>
      </c>
      <c r="D421" s="11">
        <f>IFERROR(INDEX(rngData,MATCH($B421,rngYear,0),MATCH(OFFSET(D421,-$A421,0),rngColumnNames,0)),"")</f>
        <v>0</v>
      </c>
      <c r="E421" s="11">
        <f>IFERROR(INDEX(rngData,MATCH($B421,rngYear,0),MATCH(OFFSET(E421,-$A421,0),rngColumnNames,0)),"")</f>
        <v>0</v>
      </c>
      <c r="F421" s="11">
        <f>IFERROR(INDEX(rngData,MATCH($B421,rngYear,0),MATCH(OFFSET(F421,-$A421,0),rngColumnNames,0)),"")</f>
        <v>0</v>
      </c>
      <c r="G421" s="11">
        <f t="shared" si="24"/>
        <v>0</v>
      </c>
    </row>
    <row r="422">
      <c r="A422" s="9">
        <f t="shared" si="25"/>
        <v>32</v>
      </c>
      <c r="B422" s="10">
        <f>IF(INDEX(rngYear,A422+1)&lt;&gt;0,INDEX(rngYear,A422+1),"")</f>
        <v>2011</v>
      </c>
      <c r="C422" s="11">
        <f>IFERROR(INDEX(rngData,MATCH($B422,rngYear,0),MATCH(OFFSET(C422,-$A422,0),rngColumnNames,0)),"")</f>
        <v>0</v>
      </c>
      <c r="D422" s="11">
        <f>IFERROR(INDEX(rngData,MATCH($B422,rngYear,0),MATCH(OFFSET(D422,-$A422,0),rngColumnNames,0)),"")</f>
        <v>0</v>
      </c>
      <c r="E422" s="11">
        <f>IFERROR(INDEX(rngData,MATCH($B422,rngYear,0),MATCH(OFFSET(E422,-$A422,0),rngColumnNames,0)),"")</f>
        <v>0</v>
      </c>
      <c r="F422" s="11">
        <f>IFERROR(INDEX(rngData,MATCH($B422,rngYear,0),MATCH(OFFSET(F422,-$A422,0),rngColumnNames,0)),"")</f>
        <v>0</v>
      </c>
      <c r="G422" s="11">
        <f t="shared" si="24"/>
        <v>0</v>
      </c>
    </row>
    <row r="423">
      <c r="A423" s="9">
        <f t="shared" si="25"/>
        <v>33</v>
      </c>
      <c r="B423" s="10">
        <f>IF(INDEX(rngYear,A423+1)&lt;&gt;0,INDEX(rngYear,A423+1),"")</f>
        <v>2012</v>
      </c>
      <c r="C423" s="11">
        <f>IFERROR(INDEX(rngData,MATCH($B423,rngYear,0),MATCH(OFFSET(C423,-$A423,0),rngColumnNames,0)),"")</f>
        <v>0</v>
      </c>
      <c r="D423" s="11">
        <f>IFERROR(INDEX(rngData,MATCH($B423,rngYear,0),MATCH(OFFSET(D423,-$A423,0),rngColumnNames,0)),"")</f>
        <v>0</v>
      </c>
      <c r="E423" s="11">
        <f>IFERROR(INDEX(rngData,MATCH($B423,rngYear,0),MATCH(OFFSET(E423,-$A423,0),rngColumnNames,0)),"")</f>
        <v>0</v>
      </c>
      <c r="F423" s="11">
        <f>IFERROR(INDEX(rngData,MATCH($B423,rngYear,0),MATCH(OFFSET(F423,-$A423,0),rngColumnNames,0)),"")</f>
        <v>0</v>
      </c>
      <c r="G423" s="11">
        <f ref="G423:G450" t="shared" si="26">IFERROR(F423-E423,"")</f>
        <v>0</v>
      </c>
    </row>
    <row r="424" hidden="1">
      <c r="A424" s="9">
        <f ref="A424:A450" t="shared" si="27">A423+1</f>
        <v>34</v>
      </c>
      <c r="B424" s="10">
        <f>IF(INDEX(rngYear,A424+1)&lt;&gt;0,INDEX(rngYear,A424+1),"")</f>
      </c>
      <c r="C424" s="11">
        <f>IFERROR(INDEX(rngData,MATCH($B424,rngYear,0),MATCH(OFFSET(C424,-$A424,0),rngColumnNames,0)),"")</f>
      </c>
      <c r="D424" s="11">
        <f>IFERROR(INDEX(rngData,MATCH($B424,rngYear,0),MATCH(OFFSET(D424,-$A424,0),rngColumnNames,0)),"")</f>
      </c>
      <c r="E424" s="11">
        <f>IFERROR(INDEX(rngData,MATCH($B424,rngYear,0),MATCH(OFFSET(E424,-$A424,0),rngColumnNames,0)),"")</f>
      </c>
      <c r="F424" s="11">
        <f>IFERROR(INDEX(rngData,MATCH($B424,rngYear,0),MATCH(OFFSET(F424,-$A424,0),rngColumnNames,0)),"")</f>
      </c>
      <c r="G424" s="11">
        <f t="shared" si="26"/>
      </c>
    </row>
    <row r="425" hidden="1">
      <c r="A425" s="9">
        <f t="shared" si="27"/>
        <v>35</v>
      </c>
      <c r="B425" s="10">
        <f>IF(INDEX(rngYear,A425+1)&lt;&gt;0,INDEX(rngYear,A425+1),"")</f>
      </c>
      <c r="C425" s="11">
        <f>IFERROR(INDEX(rngData,MATCH($B425,rngYear,0),MATCH(OFFSET(C425,-$A425,0),rngColumnNames,0)),"")</f>
      </c>
      <c r="D425" s="11">
        <f>IFERROR(INDEX(rngData,MATCH($B425,rngYear,0),MATCH(OFFSET(D425,-$A425,0),rngColumnNames,0)),"")</f>
      </c>
      <c r="E425" s="11">
        <f>IFERROR(INDEX(rngData,MATCH($B425,rngYear,0),MATCH(OFFSET(E425,-$A425,0),rngColumnNames,0)),"")</f>
      </c>
      <c r="F425" s="11">
        <f>IFERROR(INDEX(rngData,MATCH($B425,rngYear,0),MATCH(OFFSET(F425,-$A425,0),rngColumnNames,0)),"")</f>
      </c>
      <c r="G425" s="11">
        <f t="shared" si="26"/>
      </c>
    </row>
    <row r="426" hidden="1">
      <c r="A426" s="9">
        <f t="shared" si="27"/>
        <v>36</v>
      </c>
      <c r="B426" s="10">
        <f>IF(INDEX(rngYear,A426+1)&lt;&gt;0,INDEX(rngYear,A426+1),"")</f>
      </c>
      <c r="C426" s="11">
        <f>IFERROR(INDEX(rngData,MATCH($B426,rngYear,0),MATCH(OFFSET(C426,-$A426,0),rngColumnNames,0)),"")</f>
      </c>
      <c r="D426" s="11">
        <f>IFERROR(INDEX(rngData,MATCH($B426,rngYear,0),MATCH(OFFSET(D426,-$A426,0),rngColumnNames,0)),"")</f>
      </c>
      <c r="E426" s="11">
        <f>IFERROR(INDEX(rngData,MATCH($B426,rngYear,0),MATCH(OFFSET(E426,-$A426,0),rngColumnNames,0)),"")</f>
      </c>
      <c r="F426" s="11">
        <f>IFERROR(INDEX(rngData,MATCH($B426,rngYear,0),MATCH(OFFSET(F426,-$A426,0),rngColumnNames,0)),"")</f>
      </c>
      <c r="G426" s="11">
        <f t="shared" si="26"/>
      </c>
    </row>
    <row r="427" hidden="1">
      <c r="A427" s="9">
        <f t="shared" si="27"/>
        <v>37</v>
      </c>
      <c r="B427" s="10">
        <f>IF(INDEX(rngYear,A427+1)&lt;&gt;0,INDEX(rngYear,A427+1),"")</f>
      </c>
      <c r="C427" s="11">
        <f>IFERROR(INDEX(rngData,MATCH($B427,rngYear,0),MATCH(OFFSET(C427,-$A427,0),rngColumnNames,0)),"")</f>
      </c>
      <c r="D427" s="11">
        <f>IFERROR(INDEX(rngData,MATCH($B427,rngYear,0),MATCH(OFFSET(D427,-$A427,0),rngColumnNames,0)),"")</f>
      </c>
      <c r="E427" s="11">
        <f>IFERROR(INDEX(rngData,MATCH($B427,rngYear,0),MATCH(OFFSET(E427,-$A427,0),rngColumnNames,0)),"")</f>
      </c>
      <c r="F427" s="11">
        <f>IFERROR(INDEX(rngData,MATCH($B427,rngYear,0),MATCH(OFFSET(F427,-$A427,0),rngColumnNames,0)),"")</f>
      </c>
      <c r="G427" s="11">
        <f t="shared" si="26"/>
      </c>
    </row>
    <row r="428" hidden="1">
      <c r="A428" s="9">
        <f t="shared" si="27"/>
        <v>38</v>
      </c>
      <c r="B428" s="10">
        <f>IF(INDEX(rngYear,A428+1)&lt;&gt;0,INDEX(rngYear,A428+1),"")</f>
      </c>
      <c r="C428" s="11">
        <f>IFERROR(INDEX(rngData,MATCH($B428,rngYear,0),MATCH(OFFSET(C428,-$A428,0),rngColumnNames,0)),"")</f>
      </c>
      <c r="D428" s="11">
        <f>IFERROR(INDEX(rngData,MATCH($B428,rngYear,0),MATCH(OFFSET(D428,-$A428,0),rngColumnNames,0)),"")</f>
      </c>
      <c r="E428" s="11">
        <f>IFERROR(INDEX(rngData,MATCH($B428,rngYear,0),MATCH(OFFSET(E428,-$A428,0),rngColumnNames,0)),"")</f>
      </c>
      <c r="F428" s="11">
        <f>IFERROR(INDEX(rngData,MATCH($B428,rngYear,0),MATCH(OFFSET(F428,-$A428,0),rngColumnNames,0)),"")</f>
      </c>
      <c r="G428" s="11">
        <f t="shared" si="26"/>
      </c>
    </row>
    <row r="429" hidden="1">
      <c r="A429" s="9">
        <f t="shared" si="27"/>
        <v>39</v>
      </c>
      <c r="B429" s="10">
        <f>IF(INDEX(rngYear,A429+1)&lt;&gt;0,INDEX(rngYear,A429+1),"")</f>
      </c>
      <c r="C429" s="11">
        <f>IFERROR(INDEX(rngData,MATCH($B429,rngYear,0),MATCH(OFFSET(C429,-$A429,0),rngColumnNames,0)),"")</f>
      </c>
      <c r="D429" s="11">
        <f>IFERROR(INDEX(rngData,MATCH($B429,rngYear,0),MATCH(OFFSET(D429,-$A429,0),rngColumnNames,0)),"")</f>
      </c>
      <c r="E429" s="11">
        <f>IFERROR(INDEX(rngData,MATCH($B429,rngYear,0),MATCH(OFFSET(E429,-$A429,0),rngColumnNames,0)),"")</f>
      </c>
      <c r="F429" s="11">
        <f>IFERROR(INDEX(rngData,MATCH($B429,rngYear,0),MATCH(OFFSET(F429,-$A429,0),rngColumnNames,0)),"")</f>
      </c>
      <c r="G429" s="11">
        <f t="shared" si="26"/>
      </c>
    </row>
    <row r="430" hidden="1">
      <c r="A430" s="9">
        <f t="shared" si="27"/>
        <v>40</v>
      </c>
      <c r="B430" s="10">
        <f>IF(INDEX(rngYear,A430+1)&lt;&gt;0,INDEX(rngYear,A430+1),"")</f>
      </c>
      <c r="C430" s="11">
        <f>IFERROR(INDEX(rngData,MATCH($B430,rngYear,0),MATCH(OFFSET(C430,-$A430,0),rngColumnNames,0)),"")</f>
      </c>
      <c r="D430" s="11">
        <f>IFERROR(INDEX(rngData,MATCH($B430,rngYear,0),MATCH(OFFSET(D430,-$A430,0),rngColumnNames,0)),"")</f>
      </c>
      <c r="E430" s="11">
        <f>IFERROR(INDEX(rngData,MATCH($B430,rngYear,0),MATCH(OFFSET(E430,-$A430,0),rngColumnNames,0)),"")</f>
      </c>
      <c r="F430" s="11">
        <f>IFERROR(INDEX(rngData,MATCH($B430,rngYear,0),MATCH(OFFSET(F430,-$A430,0),rngColumnNames,0)),"")</f>
      </c>
      <c r="G430" s="11">
        <f t="shared" si="26"/>
      </c>
    </row>
    <row r="431" hidden="1">
      <c r="A431" s="9">
        <f t="shared" si="27"/>
        <v>41</v>
      </c>
      <c r="B431" s="10">
        <f>IF(INDEX(rngYear,A431+1)&lt;&gt;0,INDEX(rngYear,A431+1),"")</f>
      </c>
      <c r="C431" s="11">
        <f>IFERROR(INDEX(rngData,MATCH($B431,rngYear,0),MATCH(OFFSET(C431,-$A431,0),rngColumnNames,0)),"")</f>
      </c>
      <c r="D431" s="11">
        <f>IFERROR(INDEX(rngData,MATCH($B431,rngYear,0),MATCH(OFFSET(D431,-$A431,0),rngColumnNames,0)),"")</f>
      </c>
      <c r="E431" s="11">
        <f>IFERROR(INDEX(rngData,MATCH($B431,rngYear,0),MATCH(OFFSET(E431,-$A431,0),rngColumnNames,0)),"")</f>
      </c>
      <c r="F431" s="11">
        <f>IFERROR(INDEX(rngData,MATCH($B431,rngYear,0),MATCH(OFFSET(F431,-$A431,0),rngColumnNames,0)),"")</f>
      </c>
      <c r="G431" s="11">
        <f t="shared" si="26"/>
      </c>
    </row>
    <row r="432" hidden="1">
      <c r="A432" s="9">
        <f t="shared" si="27"/>
        <v>42</v>
      </c>
      <c r="B432" s="10">
        <f>IF(INDEX(rngYear,A432+1)&lt;&gt;0,INDEX(rngYear,A432+1),"")</f>
      </c>
      <c r="C432" s="11">
        <f>IFERROR(INDEX(rngData,MATCH($B432,rngYear,0),MATCH(OFFSET(C432,-$A432,0),rngColumnNames,0)),"")</f>
      </c>
      <c r="D432" s="11">
        <f>IFERROR(INDEX(rngData,MATCH($B432,rngYear,0),MATCH(OFFSET(D432,-$A432,0),rngColumnNames,0)),"")</f>
      </c>
      <c r="E432" s="11">
        <f>IFERROR(INDEX(rngData,MATCH($B432,rngYear,0),MATCH(OFFSET(E432,-$A432,0),rngColumnNames,0)),"")</f>
      </c>
      <c r="F432" s="11">
        <f>IFERROR(INDEX(rngData,MATCH($B432,rngYear,0),MATCH(OFFSET(F432,-$A432,0),rngColumnNames,0)),"")</f>
      </c>
      <c r="G432" s="11">
        <f t="shared" si="26"/>
      </c>
    </row>
    <row r="433" hidden="1">
      <c r="A433" s="9">
        <f t="shared" si="27"/>
        <v>43</v>
      </c>
      <c r="B433" s="10">
        <f>IF(INDEX(rngYear,A433+1)&lt;&gt;0,INDEX(rngYear,A433+1),"")</f>
      </c>
      <c r="C433" s="11">
        <f>IFERROR(INDEX(rngData,MATCH($B433,rngYear,0),MATCH(OFFSET(C433,-$A433,0),rngColumnNames,0)),"")</f>
      </c>
      <c r="D433" s="11">
        <f>IFERROR(INDEX(rngData,MATCH($B433,rngYear,0),MATCH(OFFSET(D433,-$A433,0),rngColumnNames,0)),"")</f>
      </c>
      <c r="E433" s="11">
        <f>IFERROR(INDEX(rngData,MATCH($B433,rngYear,0),MATCH(OFFSET(E433,-$A433,0),rngColumnNames,0)),"")</f>
      </c>
      <c r="F433" s="11">
        <f>IFERROR(INDEX(rngData,MATCH($B433,rngYear,0),MATCH(OFFSET(F433,-$A433,0),rngColumnNames,0)),"")</f>
      </c>
      <c r="G433" s="11">
        <f t="shared" si="26"/>
      </c>
    </row>
    <row r="434" hidden="1">
      <c r="A434" s="9">
        <f t="shared" si="27"/>
        <v>44</v>
      </c>
      <c r="B434" s="10">
        <f>IF(INDEX(rngYear,A434+1)&lt;&gt;0,INDEX(rngYear,A434+1),"")</f>
      </c>
      <c r="C434" s="11">
        <f>IFERROR(INDEX(rngData,MATCH($B434,rngYear,0),MATCH(OFFSET(C434,-$A434,0),rngColumnNames,0)),"")</f>
      </c>
      <c r="D434" s="11">
        <f>IFERROR(INDEX(rngData,MATCH($B434,rngYear,0),MATCH(OFFSET(D434,-$A434,0),rngColumnNames,0)),"")</f>
      </c>
      <c r="E434" s="11">
        <f>IFERROR(INDEX(rngData,MATCH($B434,rngYear,0),MATCH(OFFSET(E434,-$A434,0),rngColumnNames,0)),"")</f>
      </c>
      <c r="F434" s="11">
        <f>IFERROR(INDEX(rngData,MATCH($B434,rngYear,0),MATCH(OFFSET(F434,-$A434,0),rngColumnNames,0)),"")</f>
      </c>
      <c r="G434" s="11">
        <f t="shared" si="26"/>
      </c>
    </row>
    <row r="435" hidden="1">
      <c r="A435" s="9">
        <f t="shared" si="27"/>
        <v>45</v>
      </c>
      <c r="B435" s="10">
        <f>IF(INDEX(rngYear,A435+1)&lt;&gt;0,INDEX(rngYear,A435+1),"")</f>
      </c>
      <c r="C435" s="11">
        <f>IFERROR(INDEX(rngData,MATCH($B435,rngYear,0),MATCH(OFFSET(C435,-$A435,0),rngColumnNames,0)),"")</f>
      </c>
      <c r="D435" s="11">
        <f>IFERROR(INDEX(rngData,MATCH($B435,rngYear,0),MATCH(OFFSET(D435,-$A435,0),rngColumnNames,0)),"")</f>
      </c>
      <c r="E435" s="11">
        <f>IFERROR(INDEX(rngData,MATCH($B435,rngYear,0),MATCH(OFFSET(E435,-$A435,0),rngColumnNames,0)),"")</f>
      </c>
      <c r="F435" s="11">
        <f>IFERROR(INDEX(rngData,MATCH($B435,rngYear,0),MATCH(OFFSET(F435,-$A435,0),rngColumnNames,0)),"")</f>
      </c>
      <c r="G435" s="11">
        <f t="shared" si="26"/>
      </c>
    </row>
    <row r="436" hidden="1">
      <c r="A436" s="9">
        <f t="shared" si="27"/>
        <v>46</v>
      </c>
      <c r="B436" s="10">
        <f>IF(INDEX(rngYear,A436+1)&lt;&gt;0,INDEX(rngYear,A436+1),"")</f>
      </c>
      <c r="C436" s="11">
        <f>IFERROR(INDEX(rngData,MATCH($B436,rngYear,0),MATCH(OFFSET(C436,-$A436,0),rngColumnNames,0)),"")</f>
      </c>
      <c r="D436" s="11">
        <f>IFERROR(INDEX(rngData,MATCH($B436,rngYear,0),MATCH(OFFSET(D436,-$A436,0),rngColumnNames,0)),"")</f>
      </c>
      <c r="E436" s="11">
        <f>IFERROR(INDEX(rngData,MATCH($B436,rngYear,0),MATCH(OFFSET(E436,-$A436,0),rngColumnNames,0)),"")</f>
      </c>
      <c r="F436" s="11">
        <f>IFERROR(INDEX(rngData,MATCH($B436,rngYear,0),MATCH(OFFSET(F436,-$A436,0),rngColumnNames,0)),"")</f>
      </c>
      <c r="G436" s="11">
        <f t="shared" si="26"/>
      </c>
    </row>
    <row r="437" hidden="1">
      <c r="A437" s="9">
        <f t="shared" si="27"/>
        <v>47</v>
      </c>
      <c r="B437" s="10">
        <f>IF(INDEX(rngYear,A437+1)&lt;&gt;0,INDEX(rngYear,A437+1),"")</f>
      </c>
      <c r="C437" s="11">
        <f>IFERROR(INDEX(rngData,MATCH($B437,rngYear,0),MATCH(OFFSET(C437,-$A437,0),rngColumnNames,0)),"")</f>
      </c>
      <c r="D437" s="11">
        <f>IFERROR(INDEX(rngData,MATCH($B437,rngYear,0),MATCH(OFFSET(D437,-$A437,0),rngColumnNames,0)),"")</f>
      </c>
      <c r="E437" s="11">
        <f>IFERROR(INDEX(rngData,MATCH($B437,rngYear,0),MATCH(OFFSET(E437,-$A437,0),rngColumnNames,0)),"")</f>
      </c>
      <c r="F437" s="11">
        <f>IFERROR(INDEX(rngData,MATCH($B437,rngYear,0),MATCH(OFFSET(F437,-$A437,0),rngColumnNames,0)),"")</f>
      </c>
      <c r="G437" s="11">
        <f t="shared" si="26"/>
      </c>
    </row>
    <row r="438" hidden="1">
      <c r="A438" s="9">
        <f t="shared" si="27"/>
        <v>48</v>
      </c>
      <c r="B438" s="10">
        <f>IF(INDEX(rngYear,A438+1)&lt;&gt;0,INDEX(rngYear,A438+1),"")</f>
      </c>
      <c r="C438" s="11">
        <f>IFERROR(INDEX(rngData,MATCH($B438,rngYear,0),MATCH(OFFSET(C438,-$A438,0),rngColumnNames,0)),"")</f>
      </c>
      <c r="D438" s="11">
        <f>IFERROR(INDEX(rngData,MATCH($B438,rngYear,0),MATCH(OFFSET(D438,-$A438,0),rngColumnNames,0)),"")</f>
      </c>
      <c r="E438" s="11">
        <f>IFERROR(INDEX(rngData,MATCH($B438,rngYear,0),MATCH(OFFSET(E438,-$A438,0),rngColumnNames,0)),"")</f>
      </c>
      <c r="F438" s="11">
        <f>IFERROR(INDEX(rngData,MATCH($B438,rngYear,0),MATCH(OFFSET(F438,-$A438,0),rngColumnNames,0)),"")</f>
      </c>
      <c r="G438" s="11">
        <f t="shared" si="26"/>
      </c>
    </row>
    <row r="439" hidden="1">
      <c r="A439" s="9">
        <f t="shared" si="27"/>
        <v>49</v>
      </c>
      <c r="B439" s="10">
        <f>IF(INDEX(rngYear,A439+1)&lt;&gt;0,INDEX(rngYear,A439+1),"")</f>
      </c>
      <c r="C439" s="11">
        <f>IFERROR(INDEX(rngData,MATCH($B439,rngYear,0),MATCH(OFFSET(C439,-$A439,0),rngColumnNames,0)),"")</f>
      </c>
      <c r="D439" s="11">
        <f>IFERROR(INDEX(rngData,MATCH($B439,rngYear,0),MATCH(OFFSET(D439,-$A439,0),rngColumnNames,0)),"")</f>
      </c>
      <c r="E439" s="11">
        <f>IFERROR(INDEX(rngData,MATCH($B439,rngYear,0),MATCH(OFFSET(E439,-$A439,0),rngColumnNames,0)),"")</f>
      </c>
      <c r="F439" s="11">
        <f>IFERROR(INDEX(rngData,MATCH($B439,rngYear,0),MATCH(OFFSET(F439,-$A439,0),rngColumnNames,0)),"")</f>
      </c>
      <c r="G439" s="11">
        <f t="shared" si="26"/>
      </c>
    </row>
    <row r="440" hidden="1">
      <c r="A440" s="9">
        <f t="shared" si="27"/>
        <v>50</v>
      </c>
      <c r="B440" s="10">
        <f>IF(INDEX(rngYear,A440+1)&lt;&gt;0,INDEX(rngYear,A440+1),"")</f>
      </c>
      <c r="C440" s="11">
        <f>IFERROR(INDEX(rngData,MATCH($B440,rngYear,0),MATCH(OFFSET(C440,-$A440,0),rngColumnNames,0)),"")</f>
      </c>
      <c r="D440" s="11">
        <f>IFERROR(INDEX(rngData,MATCH($B440,rngYear,0),MATCH(OFFSET(D440,-$A440,0),rngColumnNames,0)),"")</f>
      </c>
      <c r="E440" s="11">
        <f>IFERROR(INDEX(rngData,MATCH($B440,rngYear,0),MATCH(OFFSET(E440,-$A440,0),rngColumnNames,0)),"")</f>
      </c>
      <c r="F440" s="11">
        <f>IFERROR(INDEX(rngData,MATCH($B440,rngYear,0),MATCH(OFFSET(F440,-$A440,0),rngColumnNames,0)),"")</f>
      </c>
      <c r="G440" s="11">
        <f t="shared" si="26"/>
      </c>
    </row>
    <row r="441" hidden="1">
      <c r="A441" s="9">
        <f t="shared" si="27"/>
        <v>51</v>
      </c>
      <c r="B441" s="10">
        <f>IF(INDEX(rngYear,A441+1)&lt;&gt;0,INDEX(rngYear,A441+1),"")</f>
      </c>
      <c r="C441" s="11">
        <f>IFERROR(INDEX(rngData,MATCH($B441,rngYear,0),MATCH(OFFSET(C441,-$A441,0),rngColumnNames,0)),"")</f>
      </c>
      <c r="D441" s="11">
        <f>IFERROR(INDEX(rngData,MATCH($B441,rngYear,0),MATCH(OFFSET(D441,-$A441,0),rngColumnNames,0)),"")</f>
      </c>
      <c r="E441" s="11">
        <f>IFERROR(INDEX(rngData,MATCH($B441,rngYear,0),MATCH(OFFSET(E441,-$A441,0),rngColumnNames,0)),"")</f>
      </c>
      <c r="F441" s="11">
        <f>IFERROR(INDEX(rngData,MATCH($B441,rngYear,0),MATCH(OFFSET(F441,-$A441,0),rngColumnNames,0)),"")</f>
      </c>
      <c r="G441" s="11">
        <f t="shared" si="26"/>
      </c>
    </row>
    <row r="442" hidden="1">
      <c r="A442" s="9">
        <f t="shared" si="27"/>
        <v>52</v>
      </c>
      <c r="B442" s="10">
        <f>IF(INDEX(rngYear,A442+1)&lt;&gt;0,INDEX(rngYear,A442+1),"")</f>
      </c>
      <c r="C442" s="11">
        <f>IFERROR(INDEX(rngData,MATCH($B442,rngYear,0),MATCH(OFFSET(C442,-$A442,0),rngColumnNames,0)),"")</f>
      </c>
      <c r="D442" s="11">
        <f>IFERROR(INDEX(rngData,MATCH($B442,rngYear,0),MATCH(OFFSET(D442,-$A442,0),rngColumnNames,0)),"")</f>
      </c>
      <c r="E442" s="11">
        <f>IFERROR(INDEX(rngData,MATCH($B442,rngYear,0),MATCH(OFFSET(E442,-$A442,0),rngColumnNames,0)),"")</f>
      </c>
      <c r="F442" s="11">
        <f>IFERROR(INDEX(rngData,MATCH($B442,rngYear,0),MATCH(OFFSET(F442,-$A442,0),rngColumnNames,0)),"")</f>
      </c>
      <c r="G442" s="11">
        <f t="shared" si="26"/>
      </c>
    </row>
    <row r="443" hidden="1">
      <c r="A443" s="9">
        <f t="shared" si="27"/>
        <v>53</v>
      </c>
      <c r="B443" s="10">
        <f>IF(INDEX(rngYear,A443+1)&lt;&gt;0,INDEX(rngYear,A443+1),"")</f>
      </c>
      <c r="C443" s="11">
        <f>IFERROR(INDEX(rngData,MATCH($B443,rngYear,0),MATCH(OFFSET(C443,-$A443,0),rngColumnNames,0)),"")</f>
      </c>
      <c r="D443" s="11">
        <f>IFERROR(INDEX(rngData,MATCH($B443,rngYear,0),MATCH(OFFSET(D443,-$A443,0),rngColumnNames,0)),"")</f>
      </c>
      <c r="E443" s="11">
        <f>IFERROR(INDEX(rngData,MATCH($B443,rngYear,0),MATCH(OFFSET(E443,-$A443,0),rngColumnNames,0)),"")</f>
      </c>
      <c r="F443" s="11">
        <f>IFERROR(INDEX(rngData,MATCH($B443,rngYear,0),MATCH(OFFSET(F443,-$A443,0),rngColumnNames,0)),"")</f>
      </c>
      <c r="G443" s="11">
        <f t="shared" si="26"/>
      </c>
    </row>
    <row r="444" hidden="1">
      <c r="A444" s="9">
        <f t="shared" si="27"/>
        <v>54</v>
      </c>
      <c r="B444" s="10">
        <f>IF(INDEX(rngYear,A444+1)&lt;&gt;0,INDEX(rngYear,A444+1),"")</f>
      </c>
      <c r="C444" s="11">
        <f>IFERROR(INDEX(rngData,MATCH($B444,rngYear,0),MATCH(OFFSET(C444,-$A444,0),rngColumnNames,0)),"")</f>
      </c>
      <c r="D444" s="11">
        <f>IFERROR(INDEX(rngData,MATCH($B444,rngYear,0),MATCH(OFFSET(D444,-$A444,0),rngColumnNames,0)),"")</f>
      </c>
      <c r="E444" s="11">
        <f>IFERROR(INDEX(rngData,MATCH($B444,rngYear,0),MATCH(OFFSET(E444,-$A444,0),rngColumnNames,0)),"")</f>
      </c>
      <c r="F444" s="11">
        <f>IFERROR(INDEX(rngData,MATCH($B444,rngYear,0),MATCH(OFFSET(F444,-$A444,0),rngColumnNames,0)),"")</f>
      </c>
      <c r="G444" s="11">
        <f t="shared" si="26"/>
      </c>
    </row>
    <row r="445" hidden="1">
      <c r="A445" s="9">
        <f t="shared" si="27"/>
        <v>55</v>
      </c>
      <c r="B445" s="10">
        <f>IF(INDEX(rngYear,A445+1)&lt;&gt;0,INDEX(rngYear,A445+1),"")</f>
      </c>
      <c r="C445" s="11">
        <f>IFERROR(INDEX(rngData,MATCH($B445,rngYear,0),MATCH(OFFSET(C445,-$A445,0),rngColumnNames,0)),"")</f>
      </c>
      <c r="D445" s="11">
        <f>IFERROR(INDEX(rngData,MATCH($B445,rngYear,0),MATCH(OFFSET(D445,-$A445,0),rngColumnNames,0)),"")</f>
      </c>
      <c r="E445" s="11">
        <f>IFERROR(INDEX(rngData,MATCH($B445,rngYear,0),MATCH(OFFSET(E445,-$A445,0),rngColumnNames,0)),"")</f>
      </c>
      <c r="F445" s="11">
        <f>IFERROR(INDEX(rngData,MATCH($B445,rngYear,0),MATCH(OFFSET(F445,-$A445,0),rngColumnNames,0)),"")</f>
      </c>
      <c r="G445" s="11">
        <f t="shared" si="26"/>
      </c>
    </row>
    <row r="446" hidden="1">
      <c r="A446" s="9">
        <f t="shared" si="27"/>
        <v>56</v>
      </c>
      <c r="B446" s="10">
        <f>IF(INDEX(rngYear,A446+1)&lt;&gt;0,INDEX(rngYear,A446+1),"")</f>
      </c>
      <c r="C446" s="11">
        <f>IFERROR(INDEX(rngData,MATCH($B446,rngYear,0),MATCH(OFFSET(C446,-$A446,0),rngColumnNames,0)),"")</f>
      </c>
      <c r="D446" s="11">
        <f>IFERROR(INDEX(rngData,MATCH($B446,rngYear,0),MATCH(OFFSET(D446,-$A446,0),rngColumnNames,0)),"")</f>
      </c>
      <c r="E446" s="11">
        <f>IFERROR(INDEX(rngData,MATCH($B446,rngYear,0),MATCH(OFFSET(E446,-$A446,0),rngColumnNames,0)),"")</f>
      </c>
      <c r="F446" s="11">
        <f>IFERROR(INDEX(rngData,MATCH($B446,rngYear,0),MATCH(OFFSET(F446,-$A446,0),rngColumnNames,0)),"")</f>
      </c>
      <c r="G446" s="11">
        <f t="shared" si="26"/>
      </c>
    </row>
    <row r="447" hidden="1">
      <c r="A447" s="9">
        <f t="shared" si="27"/>
        <v>57</v>
      </c>
      <c r="B447" s="10">
        <f>IF(INDEX(rngYear,A447+1)&lt;&gt;0,INDEX(rngYear,A447+1),"")</f>
      </c>
      <c r="C447" s="11">
        <f>IFERROR(INDEX(rngData,MATCH($B447,rngYear,0),MATCH(OFFSET(C447,-$A447,0),rngColumnNames,0)),"")</f>
      </c>
      <c r="D447" s="11">
        <f>IFERROR(INDEX(rngData,MATCH($B447,rngYear,0),MATCH(OFFSET(D447,-$A447,0),rngColumnNames,0)),"")</f>
      </c>
      <c r="E447" s="11">
        <f>IFERROR(INDEX(rngData,MATCH($B447,rngYear,0),MATCH(OFFSET(E447,-$A447,0),rngColumnNames,0)),"")</f>
      </c>
      <c r="F447" s="11">
        <f>IFERROR(INDEX(rngData,MATCH($B447,rngYear,0),MATCH(OFFSET(F447,-$A447,0),rngColumnNames,0)),"")</f>
      </c>
      <c r="G447" s="11">
        <f t="shared" si="26"/>
      </c>
    </row>
    <row r="448" hidden="1">
      <c r="A448" s="9">
        <f t="shared" si="27"/>
        <v>58</v>
      </c>
      <c r="B448" s="10">
        <f>IF(INDEX(rngYear,A448+1)&lt;&gt;0,INDEX(rngYear,A448+1),"")</f>
      </c>
      <c r="C448" s="11">
        <f>IFERROR(INDEX(rngData,MATCH($B448,rngYear,0),MATCH(OFFSET(C448,-$A448,0),rngColumnNames,0)),"")</f>
      </c>
      <c r="D448" s="11">
        <f>IFERROR(INDEX(rngData,MATCH($B448,rngYear,0),MATCH(OFFSET(D448,-$A448,0),rngColumnNames,0)),"")</f>
      </c>
      <c r="E448" s="11">
        <f>IFERROR(INDEX(rngData,MATCH($B448,rngYear,0),MATCH(OFFSET(E448,-$A448,0),rngColumnNames,0)),"")</f>
      </c>
      <c r="F448" s="11">
        <f>IFERROR(INDEX(rngData,MATCH($B448,rngYear,0),MATCH(OFFSET(F448,-$A448,0),rngColumnNames,0)),"")</f>
      </c>
      <c r="G448" s="11">
        <f t="shared" si="26"/>
      </c>
    </row>
    <row r="449" hidden="1">
      <c r="A449" s="9">
        <f t="shared" si="27"/>
        <v>59</v>
      </c>
      <c r="B449" s="10">
        <f>IF(INDEX(rngYear,A449+1)&lt;&gt;0,INDEX(rngYear,A449+1),"")</f>
      </c>
      <c r="C449" s="11">
        <f>IFERROR(INDEX(rngData,MATCH($B449,rngYear,0),MATCH(OFFSET(C449,-$A449,0),rngColumnNames,0)),"")</f>
      </c>
      <c r="D449" s="11">
        <f>IFERROR(INDEX(rngData,MATCH($B449,rngYear,0),MATCH(OFFSET(D449,-$A449,0),rngColumnNames,0)),"")</f>
      </c>
      <c r="E449" s="11">
        <f>IFERROR(INDEX(rngData,MATCH($B449,rngYear,0),MATCH(OFFSET(E449,-$A449,0),rngColumnNames,0)),"")</f>
      </c>
      <c r="F449" s="11">
        <f>IFERROR(INDEX(rngData,MATCH($B449,rngYear,0),MATCH(OFFSET(F449,-$A449,0),rngColumnNames,0)),"")</f>
      </c>
      <c r="G449" s="11">
        <f t="shared" si="26"/>
      </c>
    </row>
    <row r="450" hidden="1">
      <c r="A450" s="9">
        <f t="shared" si="27"/>
        <v>60</v>
      </c>
      <c r="B450" s="10">
        <f>IF(INDEX(rngYear,A450+1)&lt;&gt;0,INDEX(rngYear,A450+1),"")</f>
      </c>
      <c r="C450" s="11">
        <f>IFERROR(INDEX(rngData,MATCH($B450,rngYear,0),MATCH(OFFSET(C450,-$A450,0),rngColumnNames,0)),"")</f>
      </c>
      <c r="D450" s="11">
        <f>IFERROR(INDEX(rngData,MATCH($B450,rngYear,0),MATCH(OFFSET(D450,-$A450,0),rngColumnNames,0)),"")</f>
      </c>
      <c r="E450" s="11">
        <f>IFERROR(INDEX(rngData,MATCH($B450,rngYear,0),MATCH(OFFSET(E450,-$A450,0),rngColumnNames,0)),"")</f>
      </c>
      <c r="F450" s="11">
        <f>IFERROR(INDEX(rngData,MATCH($B450,rngYear,0),MATCH(OFFSET(F450,-$A450,0),rngColumnNames,0)),"")</f>
      </c>
      <c r="G450" s="11">
        <f t="shared" si="26"/>
      </c>
    </row>
  </sheetData>
  <mergeCells>
    <mergeCell ref="A388:T388"/>
    <mergeCell ref="E389:G389"/>
    <mergeCell ref="E197:G197"/>
    <mergeCell ref="E261:G261"/>
    <mergeCell ref="E325:G325"/>
    <mergeCell ref="A324:T324"/>
    <mergeCell ref="A260:T260"/>
    <mergeCell ref="A4:T4"/>
    <mergeCell ref="E69:G69"/>
    <mergeCell ref="E133:G133"/>
    <mergeCell ref="A196:T196"/>
    <mergeCell ref="A132:T132"/>
    <mergeCell ref="E5:G5"/>
    <mergeCell ref="A68:T68"/>
  </mergeCells>
  <dataValidations count="2">
    <dataValidation type="list" allowBlank="1" showInputMessage="1" showErrorMessage="1" sqref="C6:F6 C390:F390 K417 C326:F326 K353 C262:F262 K289 C198:F198 K225 C134:F134 K161 C70:F70 K97">
      <formula1>rngColumnNames</formula1>
    </dataValidation>
    <dataValidation type="list" allowBlank="1" showDropDown="1" showInputMessage="1" showErrorMessage="1" sqref="B6 B390 B326 B262 B198 B134 B70">
      <formula1>"year"</formula1>
    </dataValidation>
  </dataValidations>
  <pageMargins left="0.7" right="0.7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freshTables">
                <anchor moveWithCells="1" sizeWithCells="1">
                  <from>
                    <xdr:col>3</xdr:col>
                    <xdr:colOff>1095375</xdr:colOff>
                    <xdr:row>0</xdr:row>
                    <xdr:rowOff>38100</xdr:rowOff>
                  </from>
                  <to>
                    <xdr:col>4</xdr:col>
                    <xdr:colOff>1162050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  <pageSetUpPr autoPageBreaks="0"/>
  </sheetPr>
  <dimension ref="A1:T255"/>
  <sheetViews>
    <sheetView showGridLines="0" workbookViewId="0">
      <selection sqref="A1:M1"/>
    </sheetView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17.42578125" customWidth="1" style="1"/>
    <col min="9" max="9" width="17.42578125" customWidth="1" style="1"/>
    <col min="10" max="10" width="17.42578125" customWidth="1" style="1"/>
    <col min="11" max="11" width="17.42578125" customWidth="1" style="1"/>
    <col min="12" max="12" width="17.42578125" customWidth="1" style="1"/>
    <col min="13" max="13" width="17.42578125" customWidth="1" style="1"/>
    <col min="14" max="14" width="17.425781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20" width="9.140625" customWidth="1" style="1"/>
    <col min="21" max="21" width="9.140625" customWidth="1" style="1"/>
    <col min="22" max="22" width="9.140625" customWidth="1" style="1"/>
    <col min="23" max="23" width="9.140625" customWidth="1" style="1"/>
    <col min="24" max="24" width="9.140625" customWidth="1" style="1"/>
    <col min="25" max="25" width="9.140625" customWidth="1" style="1"/>
    <col min="26" max="26" width="9.140625" customWidth="1" style="1"/>
    <col min="27" max="16384" width="9.140625" customWidth="1" style="1"/>
  </cols>
  <sheetData>
    <row r="1" ht="19.5" customHeight="1">
      <c r="A1" s="16" t="s">
        <v>80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2"/>
      <c r="O1" s="2"/>
      <c r="P1" s="2"/>
      <c r="Q1" s="2"/>
      <c r="R1" s="2"/>
      <c r="S1" s="2"/>
      <c r="T1" s="3"/>
    </row>
    <row r="2" ht="15" customHeight="1">
      <c r="B2" s="4"/>
      <c r="C2" s="5" t="s">
        <v>81</v>
      </c>
      <c r="D2" s="17" t="s">
        <v>82</v>
      </c>
      <c r="E2" s="18"/>
      <c r="F2" s="19"/>
    </row>
    <row r="3" ht="22.5" customHeight="1">
      <c r="A3" s="6" t="s">
        <v>83</v>
      </c>
      <c r="B3" s="7" t="s">
        <v>4</v>
      </c>
      <c r="C3" s="7" t="s">
        <v>19</v>
      </c>
      <c r="D3" s="7" t="s">
        <v>46</v>
      </c>
      <c r="E3" s="7" t="s">
        <v>47</v>
      </c>
      <c r="F3" s="8" t="s">
        <v>82</v>
      </c>
    </row>
    <row r="4">
      <c r="A4" s="9">
        <v>1</v>
      </c>
      <c r="B4" s="10">
        <f>IF(INDEX(rngYear,A4+1)&lt;&gt;0,INDEX(rngYear,A4+1),"")</f>
        <v>1980</v>
      </c>
      <c r="C4" s="11">
        <f>IFERROR(INDEX(rngData,MATCH($B4,rngYear,0),MATCH(OFFSET(C4,-$A4,0),rngColumnNames,0)),"")</f>
        <v>0</v>
      </c>
      <c r="D4" s="11">
        <f>IFERROR(INDEX(rngData,MATCH($B4,rngYear,0),MATCH(OFFSET(D4,-$A4,0),rngColumnNames,0)),"")</f>
        <v>0</v>
      </c>
      <c r="E4" s="11">
        <f>IFERROR(INDEX(rngData,MATCH($B4,rngYear,0),MATCH(OFFSET(E4,-$A4,0),rngColumnNames,0)),"")</f>
        <v>0</v>
      </c>
      <c r="F4" s="11">
        <f ref="F4:F35" t="shared" si="0">IFERROR(E4-D4,"")</f>
        <v>0</v>
      </c>
    </row>
    <row r="5">
      <c r="A5" s="9">
        <f ref="A5:A36" t="shared" si="1">A4+1</f>
        <v>2</v>
      </c>
      <c r="B5" s="10">
        <f>IF(INDEX(rngYear,A5+1)&lt;&gt;0,INDEX(rngYear,A5+1),"")</f>
        <v>1981</v>
      </c>
      <c r="C5" s="11">
        <f>IFERROR(INDEX(rngData,MATCH($B5,rngYear,0),MATCH(OFFSET(C5,-$A5,0),rngColumnNames,0)),"")</f>
        <v>0</v>
      </c>
      <c r="D5" s="11">
        <f>IFERROR(INDEX(rngData,MATCH($B5,rngYear,0),MATCH(OFFSET(D5,-$A5,0),rngColumnNames,0)),"")</f>
        <v>0</v>
      </c>
      <c r="E5" s="11">
        <f>IFERROR(INDEX(rngData,MATCH($B5,rngYear,0),MATCH(OFFSET(E5,-$A5,0),rngColumnNames,0)),"")</f>
        <v>0</v>
      </c>
      <c r="F5" s="11">
        <f t="shared" si="0"/>
        <v>0</v>
      </c>
    </row>
    <row r="6">
      <c r="A6" s="9">
        <f t="shared" si="1"/>
        <v>3</v>
      </c>
      <c r="B6" s="10">
        <f>IF(INDEX(rngYear,A6+1)&lt;&gt;0,INDEX(rngYear,A6+1),"")</f>
        <v>1982</v>
      </c>
      <c r="C6" s="11">
        <f>IFERROR(INDEX(rngData,MATCH($B6,rngYear,0),MATCH(OFFSET(C6,-$A6,0),rngColumnNames,0)),"")</f>
        <v>0</v>
      </c>
      <c r="D6" s="11">
        <f>IFERROR(INDEX(rngData,MATCH($B6,rngYear,0),MATCH(OFFSET(D6,-$A6,0),rngColumnNames,0)),"")</f>
        <v>0</v>
      </c>
      <c r="E6" s="11">
        <f>IFERROR(INDEX(rngData,MATCH($B6,rngYear,0),MATCH(OFFSET(E6,-$A6,0),rngColumnNames,0)),"")</f>
        <v>0</v>
      </c>
      <c r="F6" s="11">
        <f t="shared" si="0"/>
        <v>0</v>
      </c>
    </row>
    <row r="7">
      <c r="A7" s="9">
        <f t="shared" si="1"/>
        <v>4</v>
      </c>
      <c r="B7" s="10">
        <f>IF(INDEX(rngYear,A7+1)&lt;&gt;0,INDEX(rngYear,A7+1),"")</f>
        <v>1983</v>
      </c>
      <c r="C7" s="11">
        <f>IFERROR(INDEX(rngData,MATCH($B7,rngYear,0),MATCH(OFFSET(C7,-$A7,0),rngColumnNames,0)),"")</f>
        <v>0</v>
      </c>
      <c r="D7" s="11">
        <f>IFERROR(INDEX(rngData,MATCH($B7,rngYear,0),MATCH(OFFSET(D7,-$A7,0),rngColumnNames,0)),"")</f>
        <v>0</v>
      </c>
      <c r="E7" s="11">
        <f>IFERROR(INDEX(rngData,MATCH($B7,rngYear,0),MATCH(OFFSET(E7,-$A7,0),rngColumnNames,0)),"")</f>
        <v>0</v>
      </c>
      <c r="F7" s="11">
        <f t="shared" si="0"/>
        <v>0</v>
      </c>
    </row>
    <row r="8">
      <c r="A8" s="9">
        <f t="shared" si="1"/>
        <v>5</v>
      </c>
      <c r="B8" s="10">
        <f>IF(INDEX(rngYear,A8+1)&lt;&gt;0,INDEX(rngYear,A8+1),"")</f>
        <v>1984</v>
      </c>
      <c r="C8" s="11">
        <f>IFERROR(INDEX(rngData,MATCH($B8,rngYear,0),MATCH(OFFSET(C8,-$A8,0),rngColumnNames,0)),"")</f>
        <v>0</v>
      </c>
      <c r="D8" s="11">
        <f>IFERROR(INDEX(rngData,MATCH($B8,rngYear,0),MATCH(OFFSET(D8,-$A8,0),rngColumnNames,0)),"")</f>
        <v>0</v>
      </c>
      <c r="E8" s="11">
        <f>IFERROR(INDEX(rngData,MATCH($B8,rngYear,0),MATCH(OFFSET(E8,-$A8,0),rngColumnNames,0)),"")</f>
        <v>0</v>
      </c>
      <c r="F8" s="11">
        <f t="shared" si="0"/>
        <v>0</v>
      </c>
    </row>
    <row r="9">
      <c r="A9" s="9">
        <f t="shared" si="1"/>
        <v>6</v>
      </c>
      <c r="B9" s="10">
        <f>IF(INDEX(rngYear,A9+1)&lt;&gt;0,INDEX(rngYear,A9+1),"")</f>
        <v>1985</v>
      </c>
      <c r="C9" s="11">
        <f>IFERROR(INDEX(rngData,MATCH($B9,rngYear,0),MATCH(OFFSET(C9,-$A9,0),rngColumnNames,0)),"")</f>
        <v>0</v>
      </c>
      <c r="D9" s="11">
        <f>IFERROR(INDEX(rngData,MATCH($B9,rngYear,0),MATCH(OFFSET(D9,-$A9,0),rngColumnNames,0)),"")</f>
        <v>0</v>
      </c>
      <c r="E9" s="11">
        <f>IFERROR(INDEX(rngData,MATCH($B9,rngYear,0),MATCH(OFFSET(E9,-$A9,0),rngColumnNames,0)),"")</f>
        <v>0</v>
      </c>
      <c r="F9" s="11">
        <f t="shared" si="0"/>
        <v>0</v>
      </c>
    </row>
    <row r="10">
      <c r="A10" s="9">
        <f t="shared" si="1"/>
        <v>7</v>
      </c>
      <c r="B10" s="10">
        <f>IF(INDEX(rngYear,A10+1)&lt;&gt;0,INDEX(rngYear,A10+1),"")</f>
        <v>1986</v>
      </c>
      <c r="C10" s="11">
        <f>IFERROR(INDEX(rngData,MATCH($B10,rngYear,0),MATCH(OFFSET(C10,-$A10,0),rngColumnNames,0)),"")</f>
        <v>0</v>
      </c>
      <c r="D10" s="11">
        <f>IFERROR(INDEX(rngData,MATCH($B10,rngYear,0),MATCH(OFFSET(D10,-$A10,0),rngColumnNames,0)),"")</f>
        <v>0</v>
      </c>
      <c r="E10" s="11">
        <f>IFERROR(INDEX(rngData,MATCH($B10,rngYear,0),MATCH(OFFSET(E10,-$A10,0),rngColumnNames,0)),"")</f>
        <v>0</v>
      </c>
      <c r="F10" s="11">
        <f t="shared" si="0"/>
        <v>0</v>
      </c>
    </row>
    <row r="11">
      <c r="A11" s="9">
        <f t="shared" si="1"/>
        <v>8</v>
      </c>
      <c r="B11" s="10">
        <f>IF(INDEX(rngYear,A11+1)&lt;&gt;0,INDEX(rngYear,A11+1),"")</f>
        <v>1987</v>
      </c>
      <c r="C11" s="11">
        <f>IFERROR(INDEX(rngData,MATCH($B11,rngYear,0),MATCH(OFFSET(C11,-$A11,0),rngColumnNames,0)),"")</f>
        <v>0</v>
      </c>
      <c r="D11" s="11">
        <f>IFERROR(INDEX(rngData,MATCH($B11,rngYear,0),MATCH(OFFSET(D11,-$A11,0),rngColumnNames,0)),"")</f>
        <v>0</v>
      </c>
      <c r="E11" s="11">
        <f>IFERROR(INDEX(rngData,MATCH($B11,rngYear,0),MATCH(OFFSET(E11,-$A11,0),rngColumnNames,0)),"")</f>
        <v>0</v>
      </c>
      <c r="F11" s="11">
        <f t="shared" si="0"/>
        <v>0</v>
      </c>
    </row>
    <row r="12">
      <c r="A12" s="9">
        <f t="shared" si="1"/>
        <v>9</v>
      </c>
      <c r="B12" s="10">
        <f>IF(INDEX(rngYear,A12+1)&lt;&gt;0,INDEX(rngYear,A12+1),"")</f>
        <v>1988</v>
      </c>
      <c r="C12" s="11">
        <f>IFERROR(INDEX(rngData,MATCH($B12,rngYear,0),MATCH(OFFSET(C12,-$A12,0),rngColumnNames,0)),"")</f>
        <v>0</v>
      </c>
      <c r="D12" s="11">
        <f>IFERROR(INDEX(rngData,MATCH($B12,rngYear,0),MATCH(OFFSET(D12,-$A12,0),rngColumnNames,0)),"")</f>
        <v>0</v>
      </c>
      <c r="E12" s="11">
        <f>IFERROR(INDEX(rngData,MATCH($B12,rngYear,0),MATCH(OFFSET(E12,-$A12,0),rngColumnNames,0)),"")</f>
        <v>0</v>
      </c>
      <c r="F12" s="11">
        <f t="shared" si="0"/>
        <v>0</v>
      </c>
    </row>
    <row r="13">
      <c r="A13" s="9">
        <f t="shared" si="1"/>
        <v>10</v>
      </c>
      <c r="B13" s="10">
        <f>IF(INDEX(rngYear,A13+1)&lt;&gt;0,INDEX(rngYear,A13+1),"")</f>
        <v>1989</v>
      </c>
      <c r="C13" s="11">
        <f>IFERROR(INDEX(rngData,MATCH($B13,rngYear,0),MATCH(OFFSET(C13,-$A13,0),rngColumnNames,0)),"")</f>
        <v>0</v>
      </c>
      <c r="D13" s="11">
        <f>IFERROR(INDEX(rngData,MATCH($B13,rngYear,0),MATCH(OFFSET(D13,-$A13,0),rngColumnNames,0)),"")</f>
        <v>0</v>
      </c>
      <c r="E13" s="11">
        <f>IFERROR(INDEX(rngData,MATCH($B13,rngYear,0),MATCH(OFFSET(E13,-$A13,0),rngColumnNames,0)),"")</f>
        <v>0</v>
      </c>
      <c r="F13" s="11">
        <f t="shared" si="0"/>
        <v>0</v>
      </c>
    </row>
    <row r="14">
      <c r="A14" s="9">
        <f t="shared" si="1"/>
        <v>11</v>
      </c>
      <c r="B14" s="10">
        <f>IF(INDEX(rngYear,A14+1)&lt;&gt;0,INDEX(rngYear,A14+1),"")</f>
        <v>1990</v>
      </c>
      <c r="C14" s="11">
        <f>IFERROR(INDEX(rngData,MATCH($B14,rngYear,0),MATCH(OFFSET(C14,-$A14,0),rngColumnNames,0)),"")</f>
        <v>0</v>
      </c>
      <c r="D14" s="11">
        <f>IFERROR(INDEX(rngData,MATCH($B14,rngYear,0),MATCH(OFFSET(D14,-$A14,0),rngColumnNames,0)),"")</f>
        <v>0</v>
      </c>
      <c r="E14" s="11">
        <f>IFERROR(INDEX(rngData,MATCH($B14,rngYear,0),MATCH(OFFSET(E14,-$A14,0),rngColumnNames,0)),"")</f>
        <v>0</v>
      </c>
      <c r="F14" s="11">
        <f t="shared" si="0"/>
        <v>0</v>
      </c>
    </row>
    <row r="15">
      <c r="A15" s="9">
        <f t="shared" si="1"/>
        <v>12</v>
      </c>
      <c r="B15" s="10">
        <f>IF(INDEX(rngYear,A15+1)&lt;&gt;0,INDEX(rngYear,A15+1),"")</f>
        <v>1991</v>
      </c>
      <c r="C15" s="11">
        <f>IFERROR(INDEX(rngData,MATCH($B15,rngYear,0),MATCH(OFFSET(C15,-$A15,0),rngColumnNames,0)),"")</f>
        <v>0</v>
      </c>
      <c r="D15" s="11">
        <f>IFERROR(INDEX(rngData,MATCH($B15,rngYear,0),MATCH(OFFSET(D15,-$A15,0),rngColumnNames,0)),"")</f>
        <v>0</v>
      </c>
      <c r="E15" s="11">
        <f>IFERROR(INDEX(rngData,MATCH($B15,rngYear,0),MATCH(OFFSET(E15,-$A15,0),rngColumnNames,0)),"")</f>
        <v>0</v>
      </c>
      <c r="F15" s="11">
        <f t="shared" si="0"/>
        <v>0</v>
      </c>
    </row>
    <row r="16">
      <c r="A16" s="9">
        <f t="shared" si="1"/>
        <v>13</v>
      </c>
      <c r="B16" s="10">
        <f>IF(INDEX(rngYear,A16+1)&lt;&gt;0,INDEX(rngYear,A16+1),"")</f>
        <v>1992</v>
      </c>
      <c r="C16" s="11">
        <f>IFERROR(INDEX(rngData,MATCH($B16,rngYear,0),MATCH(OFFSET(C16,-$A16,0),rngColumnNames,0)),"")</f>
        <v>0</v>
      </c>
      <c r="D16" s="11">
        <f>IFERROR(INDEX(rngData,MATCH($B16,rngYear,0),MATCH(OFFSET(D16,-$A16,0),rngColumnNames,0)),"")</f>
        <v>0</v>
      </c>
      <c r="E16" s="11">
        <f>IFERROR(INDEX(rngData,MATCH($B16,rngYear,0),MATCH(OFFSET(E16,-$A16,0),rngColumnNames,0)),"")</f>
        <v>0</v>
      </c>
      <c r="F16" s="11">
        <f t="shared" si="0"/>
        <v>0</v>
      </c>
    </row>
    <row r="17">
      <c r="A17" s="9">
        <f t="shared" si="1"/>
        <v>14</v>
      </c>
      <c r="B17" s="10">
        <f>IF(INDEX(rngYear,A17+1)&lt;&gt;0,INDEX(rngYear,A17+1),"")</f>
        <v>1993</v>
      </c>
      <c r="C17" s="11">
        <f>IFERROR(INDEX(rngData,MATCH($B17,rngYear,0),MATCH(OFFSET(C17,-$A17,0),rngColumnNames,0)),"")</f>
        <v>0</v>
      </c>
      <c r="D17" s="11">
        <f>IFERROR(INDEX(rngData,MATCH($B17,rngYear,0),MATCH(OFFSET(D17,-$A17,0),rngColumnNames,0)),"")</f>
        <v>0</v>
      </c>
      <c r="E17" s="11">
        <f>IFERROR(INDEX(rngData,MATCH($B17,rngYear,0),MATCH(OFFSET(E17,-$A17,0),rngColumnNames,0)),"")</f>
        <v>0</v>
      </c>
      <c r="F17" s="11">
        <f t="shared" si="0"/>
        <v>0</v>
      </c>
    </row>
    <row r="18">
      <c r="A18" s="9">
        <f t="shared" si="1"/>
        <v>15</v>
      </c>
      <c r="B18" s="10">
        <f>IF(INDEX(rngYear,A18+1)&lt;&gt;0,INDEX(rngYear,A18+1),"")</f>
        <v>1994</v>
      </c>
      <c r="C18" s="11">
        <f>IFERROR(INDEX(rngData,MATCH($B18,rngYear,0),MATCH(OFFSET(C18,-$A18,0),rngColumnNames,0)),"")</f>
        <v>0</v>
      </c>
      <c r="D18" s="11">
        <f>IFERROR(INDEX(rngData,MATCH($B18,rngYear,0),MATCH(OFFSET(D18,-$A18,0),rngColumnNames,0)),"")</f>
        <v>0</v>
      </c>
      <c r="E18" s="11">
        <f>IFERROR(INDEX(rngData,MATCH($B18,rngYear,0),MATCH(OFFSET(E18,-$A18,0),rngColumnNames,0)),"")</f>
        <v>0</v>
      </c>
      <c r="F18" s="11">
        <f t="shared" si="0"/>
        <v>0</v>
      </c>
    </row>
    <row r="19">
      <c r="A19" s="9">
        <f t="shared" si="1"/>
        <v>16</v>
      </c>
      <c r="B19" s="10">
        <f>IF(INDEX(rngYear,A19+1)&lt;&gt;0,INDEX(rngYear,A19+1),"")</f>
        <v>1995</v>
      </c>
      <c r="C19" s="11">
        <f>IFERROR(INDEX(rngData,MATCH($B19,rngYear,0),MATCH(OFFSET(C19,-$A19,0),rngColumnNames,0)),"")</f>
        <v>0</v>
      </c>
      <c r="D19" s="11">
        <f>IFERROR(INDEX(rngData,MATCH($B19,rngYear,0),MATCH(OFFSET(D19,-$A19,0),rngColumnNames,0)),"")</f>
        <v>0</v>
      </c>
      <c r="E19" s="11">
        <f>IFERROR(INDEX(rngData,MATCH($B19,rngYear,0),MATCH(OFFSET(E19,-$A19,0),rngColumnNames,0)),"")</f>
        <v>0</v>
      </c>
      <c r="F19" s="11">
        <f t="shared" si="0"/>
        <v>0</v>
      </c>
    </row>
    <row r="20">
      <c r="A20" s="9">
        <f t="shared" si="1"/>
        <v>17</v>
      </c>
      <c r="B20" s="10">
        <f>IF(INDEX(rngYear,A20+1)&lt;&gt;0,INDEX(rngYear,A20+1),"")</f>
        <v>1996</v>
      </c>
      <c r="C20" s="11">
        <f>IFERROR(INDEX(rngData,MATCH($B20,rngYear,0),MATCH(OFFSET(C20,-$A20,0),rngColumnNames,0)),"")</f>
        <v>0</v>
      </c>
      <c r="D20" s="11">
        <f>IFERROR(INDEX(rngData,MATCH($B20,rngYear,0),MATCH(OFFSET(D20,-$A20,0),rngColumnNames,0)),"")</f>
        <v>0</v>
      </c>
      <c r="E20" s="11">
        <f>IFERROR(INDEX(rngData,MATCH($B20,rngYear,0),MATCH(OFFSET(E20,-$A20,0),rngColumnNames,0)),"")</f>
        <v>0</v>
      </c>
      <c r="F20" s="11">
        <f t="shared" si="0"/>
        <v>0</v>
      </c>
    </row>
    <row r="21">
      <c r="A21" s="9">
        <f t="shared" si="1"/>
        <v>18</v>
      </c>
      <c r="B21" s="10">
        <f>IF(INDEX(rngYear,A21+1)&lt;&gt;0,INDEX(rngYear,A21+1),"")</f>
        <v>1997</v>
      </c>
      <c r="C21" s="11">
        <f>IFERROR(INDEX(rngData,MATCH($B21,rngYear,0),MATCH(OFFSET(C21,-$A21,0),rngColumnNames,0)),"")</f>
        <v>0</v>
      </c>
      <c r="D21" s="11">
        <f>IFERROR(INDEX(rngData,MATCH($B21,rngYear,0),MATCH(OFFSET(D21,-$A21,0),rngColumnNames,0)),"")</f>
        <v>0</v>
      </c>
      <c r="E21" s="11">
        <f>IFERROR(INDEX(rngData,MATCH($B21,rngYear,0),MATCH(OFFSET(E21,-$A21,0),rngColumnNames,0)),"")</f>
        <v>0</v>
      </c>
      <c r="F21" s="11">
        <f t="shared" si="0"/>
        <v>0</v>
      </c>
    </row>
    <row r="22">
      <c r="A22" s="9">
        <f t="shared" si="1"/>
        <v>19</v>
      </c>
      <c r="B22" s="10">
        <f>IF(INDEX(rngYear,A22+1)&lt;&gt;0,INDEX(rngYear,A22+1),"")</f>
        <v>1998</v>
      </c>
      <c r="C22" s="11">
        <f>IFERROR(INDEX(rngData,MATCH($B22,rngYear,0),MATCH(OFFSET(C22,-$A22,0),rngColumnNames,0)),"")</f>
        <v>0</v>
      </c>
      <c r="D22" s="11">
        <f>IFERROR(INDEX(rngData,MATCH($B22,rngYear,0),MATCH(OFFSET(D22,-$A22,0),rngColumnNames,0)),"")</f>
        <v>0</v>
      </c>
      <c r="E22" s="11">
        <f>IFERROR(INDEX(rngData,MATCH($B22,rngYear,0),MATCH(OFFSET(E22,-$A22,0),rngColumnNames,0)),"")</f>
        <v>0</v>
      </c>
      <c r="F22" s="11">
        <f t="shared" si="0"/>
        <v>0</v>
      </c>
    </row>
    <row r="23">
      <c r="A23" s="9">
        <f t="shared" si="1"/>
        <v>20</v>
      </c>
      <c r="B23" s="10">
        <f>IF(INDEX(rngYear,A23+1)&lt;&gt;0,INDEX(rngYear,A23+1),"")</f>
        <v>1999</v>
      </c>
      <c r="C23" s="11">
        <f>IFERROR(INDEX(rngData,MATCH($B23,rngYear,0),MATCH(OFFSET(C23,-$A23,0),rngColumnNames,0)),"")</f>
        <v>0</v>
      </c>
      <c r="D23" s="11">
        <f>IFERROR(INDEX(rngData,MATCH($B23,rngYear,0),MATCH(OFFSET(D23,-$A23,0),rngColumnNames,0)),"")</f>
        <v>0</v>
      </c>
      <c r="E23" s="11">
        <f>IFERROR(INDEX(rngData,MATCH($B23,rngYear,0),MATCH(OFFSET(E23,-$A23,0),rngColumnNames,0)),"")</f>
        <v>0</v>
      </c>
      <c r="F23" s="11">
        <f t="shared" si="0"/>
        <v>0</v>
      </c>
    </row>
    <row r="24">
      <c r="A24" s="9">
        <f t="shared" si="1"/>
        <v>21</v>
      </c>
      <c r="B24" s="10">
        <f>IF(INDEX(rngYear,A24+1)&lt;&gt;0,INDEX(rngYear,A24+1),"")</f>
        <v>2000</v>
      </c>
      <c r="C24" s="11">
        <f>IFERROR(INDEX(rngData,MATCH($B24,rngYear,0),MATCH(OFFSET(C24,-$A24,0),rngColumnNames,0)),"")</f>
        <v>0</v>
      </c>
      <c r="D24" s="11">
        <f>IFERROR(INDEX(rngData,MATCH($B24,rngYear,0),MATCH(OFFSET(D24,-$A24,0),rngColumnNames,0)),"")</f>
        <v>0</v>
      </c>
      <c r="E24" s="11">
        <f>IFERROR(INDEX(rngData,MATCH($B24,rngYear,0),MATCH(OFFSET(E24,-$A24,0),rngColumnNames,0)),"")</f>
        <v>0</v>
      </c>
      <c r="F24" s="11">
        <f t="shared" si="0"/>
        <v>0</v>
      </c>
    </row>
    <row r="25">
      <c r="A25" s="9">
        <f t="shared" si="1"/>
        <v>22</v>
      </c>
      <c r="B25" s="10">
        <f>IF(INDEX(rngYear,A25+1)&lt;&gt;0,INDEX(rngYear,A25+1),"")</f>
        <v>2001</v>
      </c>
      <c r="C25" s="11">
        <f>IFERROR(INDEX(rngData,MATCH($B25,rngYear,0),MATCH(OFFSET(C25,-$A25,0),rngColumnNames,0)),"")</f>
        <v>0</v>
      </c>
      <c r="D25" s="11">
        <f>IFERROR(INDEX(rngData,MATCH($B25,rngYear,0),MATCH(OFFSET(D25,-$A25,0),rngColumnNames,0)),"")</f>
        <v>0</v>
      </c>
      <c r="E25" s="11">
        <f>IFERROR(INDEX(rngData,MATCH($B25,rngYear,0),MATCH(OFFSET(E25,-$A25,0),rngColumnNames,0)),"")</f>
        <v>0</v>
      </c>
      <c r="F25" s="11">
        <f t="shared" si="0"/>
        <v>0</v>
      </c>
    </row>
    <row r="26">
      <c r="A26" s="9">
        <f t="shared" si="1"/>
        <v>23</v>
      </c>
      <c r="B26" s="10">
        <f>IF(INDEX(rngYear,A26+1)&lt;&gt;0,INDEX(rngYear,A26+1),"")</f>
        <v>2002</v>
      </c>
      <c r="C26" s="11">
        <f>IFERROR(INDEX(rngData,MATCH($B26,rngYear,0),MATCH(OFFSET(C26,-$A26,0),rngColumnNames,0)),"")</f>
        <v>0</v>
      </c>
      <c r="D26" s="11">
        <f>IFERROR(INDEX(rngData,MATCH($B26,rngYear,0),MATCH(OFFSET(D26,-$A26,0),rngColumnNames,0)),"")</f>
        <v>0</v>
      </c>
      <c r="E26" s="11">
        <f>IFERROR(INDEX(rngData,MATCH($B26,rngYear,0),MATCH(OFFSET(E26,-$A26,0),rngColumnNames,0)),"")</f>
        <v>0</v>
      </c>
      <c r="F26" s="11">
        <f t="shared" si="0"/>
        <v>0</v>
      </c>
    </row>
    <row r="27">
      <c r="A27" s="9">
        <f t="shared" si="1"/>
        <v>24</v>
      </c>
      <c r="B27" s="10">
        <f>IF(INDEX(rngYear,A27+1)&lt;&gt;0,INDEX(rngYear,A27+1),"")</f>
        <v>2003</v>
      </c>
      <c r="C27" s="11">
        <f>IFERROR(INDEX(rngData,MATCH($B27,rngYear,0),MATCH(OFFSET(C27,-$A27,0),rngColumnNames,0)),"")</f>
        <v>0</v>
      </c>
      <c r="D27" s="11">
        <f>IFERROR(INDEX(rngData,MATCH($B27,rngYear,0),MATCH(OFFSET(D27,-$A27,0),rngColumnNames,0)),"")</f>
        <v>0</v>
      </c>
      <c r="E27" s="11">
        <f>IFERROR(INDEX(rngData,MATCH($B27,rngYear,0),MATCH(OFFSET(E27,-$A27,0),rngColumnNames,0)),"")</f>
        <v>0</v>
      </c>
      <c r="F27" s="11">
        <f t="shared" si="0"/>
        <v>0</v>
      </c>
    </row>
    <row r="28">
      <c r="A28" s="9">
        <f t="shared" si="1"/>
        <v>25</v>
      </c>
      <c r="B28" s="10">
        <f>IF(INDEX(rngYear,A28+1)&lt;&gt;0,INDEX(rngYear,A28+1),"")</f>
        <v>2004</v>
      </c>
      <c r="C28" s="11">
        <f>IFERROR(INDEX(rngData,MATCH($B28,rngYear,0),MATCH(OFFSET(C28,-$A28,0),rngColumnNames,0)),"")</f>
        <v>0</v>
      </c>
      <c r="D28" s="11">
        <f>IFERROR(INDEX(rngData,MATCH($B28,rngYear,0),MATCH(OFFSET(D28,-$A28,0),rngColumnNames,0)),"")</f>
        <v>0</v>
      </c>
      <c r="E28" s="11">
        <f>IFERROR(INDEX(rngData,MATCH($B28,rngYear,0),MATCH(OFFSET(E28,-$A28,0),rngColumnNames,0)),"")</f>
        <v>0</v>
      </c>
      <c r="F28" s="11">
        <f t="shared" si="0"/>
        <v>0</v>
      </c>
    </row>
    <row r="29">
      <c r="A29" s="9">
        <f t="shared" si="1"/>
        <v>26</v>
      </c>
      <c r="B29" s="10">
        <f>IF(INDEX(rngYear,A29+1)&lt;&gt;0,INDEX(rngYear,A29+1),"")</f>
        <v>2005</v>
      </c>
      <c r="C29" s="11">
        <f>IFERROR(INDEX(rngData,MATCH($B29,rngYear,0),MATCH(OFFSET(C29,-$A29,0),rngColumnNames,0)),"")</f>
        <v>0</v>
      </c>
      <c r="D29" s="11">
        <f>IFERROR(INDEX(rngData,MATCH($B29,rngYear,0),MATCH(OFFSET(D29,-$A29,0),rngColumnNames,0)),"")</f>
        <v>0</v>
      </c>
      <c r="E29" s="11">
        <f>IFERROR(INDEX(rngData,MATCH($B29,rngYear,0),MATCH(OFFSET(E29,-$A29,0),rngColumnNames,0)),"")</f>
        <v>0</v>
      </c>
      <c r="F29" s="11">
        <f t="shared" si="0"/>
        <v>0</v>
      </c>
    </row>
    <row r="30">
      <c r="A30" s="9">
        <f t="shared" si="1"/>
        <v>27</v>
      </c>
      <c r="B30" s="10">
        <f>IF(INDEX(rngYear,A30+1)&lt;&gt;0,INDEX(rngYear,A30+1),"")</f>
        <v>2006</v>
      </c>
      <c r="C30" s="11">
        <f>IFERROR(INDEX(rngData,MATCH($B30,rngYear,0),MATCH(OFFSET(C30,-$A30,0),rngColumnNames,0)),"")</f>
        <v>0</v>
      </c>
      <c r="D30" s="11">
        <f>IFERROR(INDEX(rngData,MATCH($B30,rngYear,0),MATCH(OFFSET(D30,-$A30,0),rngColumnNames,0)),"")</f>
        <v>0</v>
      </c>
      <c r="E30" s="11">
        <f>IFERROR(INDEX(rngData,MATCH($B30,rngYear,0),MATCH(OFFSET(E30,-$A30,0),rngColumnNames,0)),"")</f>
        <v>0</v>
      </c>
      <c r="F30" s="11">
        <f t="shared" si="0"/>
        <v>0</v>
      </c>
    </row>
    <row r="31">
      <c r="A31" s="9">
        <f t="shared" si="1"/>
        <v>28</v>
      </c>
      <c r="B31" s="10">
        <f>IF(INDEX(rngYear,A31+1)&lt;&gt;0,INDEX(rngYear,A31+1),"")</f>
        <v>2007</v>
      </c>
      <c r="C31" s="11">
        <f>IFERROR(INDEX(rngData,MATCH($B31,rngYear,0),MATCH(OFFSET(C31,-$A31,0),rngColumnNames,0)),"")</f>
        <v>0</v>
      </c>
      <c r="D31" s="11">
        <f>IFERROR(INDEX(rngData,MATCH($B31,rngYear,0),MATCH(OFFSET(D31,-$A31,0),rngColumnNames,0)),"")</f>
        <v>0</v>
      </c>
      <c r="E31" s="11">
        <f>IFERROR(INDEX(rngData,MATCH($B31,rngYear,0),MATCH(OFFSET(E31,-$A31,0),rngColumnNames,0)),"")</f>
        <v>0</v>
      </c>
      <c r="F31" s="11">
        <f t="shared" si="0"/>
        <v>0</v>
      </c>
    </row>
    <row r="32">
      <c r="A32" s="9">
        <f t="shared" si="1"/>
        <v>29</v>
      </c>
      <c r="B32" s="10">
        <f>IF(INDEX(rngYear,A32+1)&lt;&gt;0,INDEX(rngYear,A32+1),"")</f>
        <v>2008</v>
      </c>
      <c r="C32" s="11">
        <f>IFERROR(INDEX(rngData,MATCH($B32,rngYear,0),MATCH(OFFSET(C32,-$A32,0),rngColumnNames,0)),"")</f>
        <v>0</v>
      </c>
      <c r="D32" s="11">
        <f>IFERROR(INDEX(rngData,MATCH($B32,rngYear,0),MATCH(OFFSET(D32,-$A32,0),rngColumnNames,0)),"")</f>
        <v>0</v>
      </c>
      <c r="E32" s="11">
        <f>IFERROR(INDEX(rngData,MATCH($B32,rngYear,0),MATCH(OFFSET(E32,-$A32,0),rngColumnNames,0)),"")</f>
        <v>0</v>
      </c>
      <c r="F32" s="11">
        <f t="shared" si="0"/>
        <v>0</v>
      </c>
    </row>
    <row r="33">
      <c r="A33" s="9">
        <f t="shared" si="1"/>
        <v>30</v>
      </c>
      <c r="B33" s="10">
        <f>IF(INDEX(rngYear,A33+1)&lt;&gt;0,INDEX(rngYear,A33+1),"")</f>
        <v>2009</v>
      </c>
      <c r="C33" s="11">
        <f>IFERROR(INDEX(rngData,MATCH($B33,rngYear,0),MATCH(OFFSET(C33,-$A33,0),rngColumnNames,0)),"")</f>
        <v>0</v>
      </c>
      <c r="D33" s="11">
        <f>IFERROR(INDEX(rngData,MATCH($B33,rngYear,0),MATCH(OFFSET(D33,-$A33,0),rngColumnNames,0)),"")</f>
        <v>0</v>
      </c>
      <c r="E33" s="11">
        <f>IFERROR(INDEX(rngData,MATCH($B33,rngYear,0),MATCH(OFFSET(E33,-$A33,0),rngColumnNames,0)),"")</f>
        <v>0</v>
      </c>
      <c r="F33" s="11">
        <f t="shared" si="0"/>
        <v>0</v>
      </c>
    </row>
    <row r="34">
      <c r="A34" s="9">
        <f t="shared" si="1"/>
        <v>31</v>
      </c>
      <c r="B34" s="10">
        <f>IF(INDEX(rngYear,A34+1)&lt;&gt;0,INDEX(rngYear,A34+1),"")</f>
        <v>2010</v>
      </c>
      <c r="C34" s="11">
        <f>IFERROR(INDEX(rngData,MATCH($B34,rngYear,0),MATCH(OFFSET(C34,-$A34,0),rngColumnNames,0)),"")</f>
        <v>0</v>
      </c>
      <c r="D34" s="11">
        <f>IFERROR(INDEX(rngData,MATCH($B34,rngYear,0),MATCH(OFFSET(D34,-$A34,0),rngColumnNames,0)),"")</f>
        <v>0</v>
      </c>
      <c r="E34" s="11">
        <f>IFERROR(INDEX(rngData,MATCH($B34,rngYear,0),MATCH(OFFSET(E34,-$A34,0),rngColumnNames,0)),"")</f>
        <v>0</v>
      </c>
      <c r="F34" s="11">
        <f t="shared" si="0"/>
        <v>0</v>
      </c>
    </row>
    <row r="35">
      <c r="A35" s="9">
        <f t="shared" si="1"/>
        <v>32</v>
      </c>
      <c r="B35" s="10">
        <f>IF(INDEX(rngYear,A35+1)&lt;&gt;0,INDEX(rngYear,A35+1),"")</f>
        <v>2011</v>
      </c>
      <c r="C35" s="11">
        <f>IFERROR(INDEX(rngData,MATCH($B35,rngYear,0),MATCH(OFFSET(C35,-$A35,0),rngColumnNames,0)),"")</f>
        <v>0</v>
      </c>
      <c r="D35" s="11">
        <f>IFERROR(INDEX(rngData,MATCH($B35,rngYear,0),MATCH(OFFSET(D35,-$A35,0),rngColumnNames,0)),"")</f>
        <v>0</v>
      </c>
      <c r="E35" s="11">
        <f>IFERROR(INDEX(rngData,MATCH($B35,rngYear,0),MATCH(OFFSET(E35,-$A35,0),rngColumnNames,0)),"")</f>
        <v>0</v>
      </c>
      <c r="F35" s="11">
        <f t="shared" si="0"/>
        <v>0</v>
      </c>
    </row>
    <row r="36">
      <c r="A36" s="9">
        <f t="shared" si="1"/>
        <v>33</v>
      </c>
      <c r="B36" s="10">
        <f>IF(INDEX(rngYear,A36+1)&lt;&gt;0,INDEX(rngYear,A36+1),"")</f>
        <v>2012</v>
      </c>
      <c r="C36" s="11">
        <f>IFERROR(INDEX(rngData,MATCH($B36,rngYear,0),MATCH(OFFSET(C36,-$A36,0),rngColumnNames,0)),"")</f>
        <v>0</v>
      </c>
      <c r="D36" s="11">
        <f>IFERROR(INDEX(rngData,MATCH($B36,rngYear,0),MATCH(OFFSET(D36,-$A36,0),rngColumnNames,0)),"")</f>
        <v>0</v>
      </c>
      <c r="E36" s="11">
        <f>IFERROR(INDEX(rngData,MATCH($B36,rngYear,0),MATCH(OFFSET(E36,-$A36,0),rngColumnNames,0)),"")</f>
        <v>0</v>
      </c>
      <c r="F36" s="11">
        <f ref="F36:F63" t="shared" si="2">IFERROR(E36-D36,"")</f>
        <v>0</v>
      </c>
    </row>
    <row r="37" hidden="1">
      <c r="A37" s="9">
        <f ref="A37:A63" t="shared" si="3">A36+1</f>
        <v>34</v>
      </c>
      <c r="B37" s="10">
        <f>IF(INDEX(rngYear,A37+1)&lt;&gt;0,INDEX(rngYear,A37+1),"")</f>
      </c>
      <c r="C37" s="11">
        <f>IFERROR(INDEX(rngData,MATCH($B37,rngYear,0),MATCH(OFFSET(C37,-$A37,0),rngColumnNames,0)),"")</f>
      </c>
      <c r="D37" s="11">
        <f>IFERROR(INDEX(rngData,MATCH($B37,rngYear,0),MATCH(OFFSET(D37,-$A37,0),rngColumnNames,0)),"")</f>
      </c>
      <c r="E37" s="11">
        <f>IFERROR(INDEX(rngData,MATCH($B37,rngYear,0),MATCH(OFFSET(E37,-$A37,0),rngColumnNames,0)),"")</f>
      </c>
      <c r="F37" s="11">
        <f t="shared" si="2"/>
      </c>
    </row>
    <row r="38" hidden="1">
      <c r="A38" s="9">
        <f t="shared" si="3"/>
        <v>35</v>
      </c>
      <c r="B38" s="10">
        <f>IF(INDEX(rngYear,A38+1)&lt;&gt;0,INDEX(rngYear,A38+1),"")</f>
      </c>
      <c r="C38" s="11">
        <f>IFERROR(INDEX(rngData,MATCH($B38,rngYear,0),MATCH(OFFSET(C38,-$A38,0),rngColumnNames,0)),"")</f>
      </c>
      <c r="D38" s="11">
        <f>IFERROR(INDEX(rngData,MATCH($B38,rngYear,0),MATCH(OFFSET(D38,-$A38,0),rngColumnNames,0)),"")</f>
      </c>
      <c r="E38" s="11">
        <f>IFERROR(INDEX(rngData,MATCH($B38,rngYear,0),MATCH(OFFSET(E38,-$A38,0),rngColumnNames,0)),"")</f>
      </c>
      <c r="F38" s="11">
        <f t="shared" si="2"/>
      </c>
    </row>
    <row r="39" hidden="1">
      <c r="A39" s="9">
        <f t="shared" si="3"/>
        <v>36</v>
      </c>
      <c r="B39" s="10">
        <f>IF(INDEX(rngYear,A39+1)&lt;&gt;0,INDEX(rngYear,A39+1),"")</f>
      </c>
      <c r="C39" s="11">
        <f>IFERROR(INDEX(rngData,MATCH($B39,rngYear,0),MATCH(OFFSET(C39,-$A39,0),rngColumnNames,0)),"")</f>
      </c>
      <c r="D39" s="11">
        <f>IFERROR(INDEX(rngData,MATCH($B39,rngYear,0),MATCH(OFFSET(D39,-$A39,0),rngColumnNames,0)),"")</f>
      </c>
      <c r="E39" s="11">
        <f>IFERROR(INDEX(rngData,MATCH($B39,rngYear,0),MATCH(OFFSET(E39,-$A39,0),rngColumnNames,0)),"")</f>
      </c>
      <c r="F39" s="11">
        <f t="shared" si="2"/>
      </c>
    </row>
    <row r="40" hidden="1">
      <c r="A40" s="9">
        <f t="shared" si="3"/>
        <v>37</v>
      </c>
      <c r="B40" s="10">
        <f>IF(INDEX(rngYear,A40+1)&lt;&gt;0,INDEX(rngYear,A40+1),"")</f>
      </c>
      <c r="C40" s="11">
        <f>IFERROR(INDEX(rngData,MATCH($B40,rngYear,0),MATCH(OFFSET(C40,-$A40,0),rngColumnNames,0)),"")</f>
      </c>
      <c r="D40" s="11">
        <f>IFERROR(INDEX(rngData,MATCH($B40,rngYear,0),MATCH(OFFSET(D40,-$A40,0),rngColumnNames,0)),"")</f>
      </c>
      <c r="E40" s="11">
        <f>IFERROR(INDEX(rngData,MATCH($B40,rngYear,0),MATCH(OFFSET(E40,-$A40,0),rngColumnNames,0)),"")</f>
      </c>
      <c r="F40" s="11">
        <f t="shared" si="2"/>
      </c>
    </row>
    <row r="41" hidden="1">
      <c r="A41" s="9">
        <f t="shared" si="3"/>
        <v>38</v>
      </c>
      <c r="B41" s="10">
        <f>IF(INDEX(rngYear,A41+1)&lt;&gt;0,INDEX(rngYear,A41+1),"")</f>
      </c>
      <c r="C41" s="11">
        <f>IFERROR(INDEX(rngData,MATCH($B41,rngYear,0),MATCH(OFFSET(C41,-$A41,0),rngColumnNames,0)),"")</f>
      </c>
      <c r="D41" s="11">
        <f>IFERROR(INDEX(rngData,MATCH($B41,rngYear,0),MATCH(OFFSET(D41,-$A41,0),rngColumnNames,0)),"")</f>
      </c>
      <c r="E41" s="11">
        <f>IFERROR(INDEX(rngData,MATCH($B41,rngYear,0),MATCH(OFFSET(E41,-$A41,0),rngColumnNames,0)),"")</f>
      </c>
      <c r="F41" s="11">
        <f t="shared" si="2"/>
      </c>
    </row>
    <row r="42" hidden="1">
      <c r="A42" s="9">
        <f t="shared" si="3"/>
        <v>39</v>
      </c>
      <c r="B42" s="10">
        <f>IF(INDEX(rngYear,A42+1)&lt;&gt;0,INDEX(rngYear,A42+1),"")</f>
      </c>
      <c r="C42" s="11">
        <f>IFERROR(INDEX(rngData,MATCH($B42,rngYear,0),MATCH(OFFSET(C42,-$A42,0),rngColumnNames,0)),"")</f>
      </c>
      <c r="D42" s="11">
        <f>IFERROR(INDEX(rngData,MATCH($B42,rngYear,0),MATCH(OFFSET(D42,-$A42,0),rngColumnNames,0)),"")</f>
      </c>
      <c r="E42" s="11">
        <f>IFERROR(INDEX(rngData,MATCH($B42,rngYear,0),MATCH(OFFSET(E42,-$A42,0),rngColumnNames,0)),"")</f>
      </c>
      <c r="F42" s="11">
        <f t="shared" si="2"/>
      </c>
    </row>
    <row r="43" hidden="1">
      <c r="A43" s="9">
        <f t="shared" si="3"/>
        <v>40</v>
      </c>
      <c r="B43" s="10">
        <f>IF(INDEX(rngYear,A43+1)&lt;&gt;0,INDEX(rngYear,A43+1),"")</f>
      </c>
      <c r="C43" s="11">
        <f>IFERROR(INDEX(rngData,MATCH($B43,rngYear,0),MATCH(OFFSET(C43,-$A43,0),rngColumnNames,0)),"")</f>
      </c>
      <c r="D43" s="11">
        <f>IFERROR(INDEX(rngData,MATCH($B43,rngYear,0),MATCH(OFFSET(D43,-$A43,0),rngColumnNames,0)),"")</f>
      </c>
      <c r="E43" s="11">
        <f>IFERROR(INDEX(rngData,MATCH($B43,rngYear,0),MATCH(OFFSET(E43,-$A43,0),rngColumnNames,0)),"")</f>
      </c>
      <c r="F43" s="11">
        <f t="shared" si="2"/>
      </c>
    </row>
    <row r="44" hidden="1">
      <c r="A44" s="9">
        <f t="shared" si="3"/>
        <v>41</v>
      </c>
      <c r="B44" s="10">
        <f>IF(INDEX(rngYear,A44+1)&lt;&gt;0,INDEX(rngYear,A44+1),"")</f>
      </c>
      <c r="C44" s="11">
        <f>IFERROR(INDEX(rngData,MATCH($B44,rngYear,0),MATCH(OFFSET(C44,-$A44,0),rngColumnNames,0)),"")</f>
      </c>
      <c r="D44" s="11">
        <f>IFERROR(INDEX(rngData,MATCH($B44,rngYear,0),MATCH(OFFSET(D44,-$A44,0),rngColumnNames,0)),"")</f>
      </c>
      <c r="E44" s="11">
        <f>IFERROR(INDEX(rngData,MATCH($B44,rngYear,0),MATCH(OFFSET(E44,-$A44,0),rngColumnNames,0)),"")</f>
      </c>
      <c r="F44" s="11">
        <f t="shared" si="2"/>
      </c>
    </row>
    <row r="45" hidden="1">
      <c r="A45" s="9">
        <f t="shared" si="3"/>
        <v>42</v>
      </c>
      <c r="B45" s="10">
        <f>IF(INDEX(rngYear,A45+1)&lt;&gt;0,INDEX(rngYear,A45+1),"")</f>
      </c>
      <c r="C45" s="11">
        <f>IFERROR(INDEX(rngData,MATCH($B45,rngYear,0),MATCH(OFFSET(C45,-$A45,0),rngColumnNames,0)),"")</f>
      </c>
      <c r="D45" s="11">
        <f>IFERROR(INDEX(rngData,MATCH($B45,rngYear,0),MATCH(OFFSET(D45,-$A45,0),rngColumnNames,0)),"")</f>
      </c>
      <c r="E45" s="11">
        <f>IFERROR(INDEX(rngData,MATCH($B45,rngYear,0),MATCH(OFFSET(E45,-$A45,0),rngColumnNames,0)),"")</f>
      </c>
      <c r="F45" s="11">
        <f t="shared" si="2"/>
      </c>
    </row>
    <row r="46" hidden="1">
      <c r="A46" s="9">
        <f t="shared" si="3"/>
        <v>43</v>
      </c>
      <c r="B46" s="10">
        <f>IF(INDEX(rngYear,A46+1)&lt;&gt;0,INDEX(rngYear,A46+1),"")</f>
      </c>
      <c r="C46" s="11">
        <f>IFERROR(INDEX(rngData,MATCH($B46,rngYear,0),MATCH(OFFSET(C46,-$A46,0),rngColumnNames,0)),"")</f>
      </c>
      <c r="D46" s="11">
        <f>IFERROR(INDEX(rngData,MATCH($B46,rngYear,0),MATCH(OFFSET(D46,-$A46,0),rngColumnNames,0)),"")</f>
      </c>
      <c r="E46" s="11">
        <f>IFERROR(INDEX(rngData,MATCH($B46,rngYear,0),MATCH(OFFSET(E46,-$A46,0),rngColumnNames,0)),"")</f>
      </c>
      <c r="F46" s="11">
        <f t="shared" si="2"/>
      </c>
    </row>
    <row r="47" hidden="1">
      <c r="A47" s="9">
        <f t="shared" si="3"/>
        <v>44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 t="shared" si="2"/>
      </c>
    </row>
    <row r="48" hidden="1">
      <c r="A48" s="9">
        <f t="shared" si="3"/>
        <v>45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 t="shared" si="2"/>
      </c>
    </row>
    <row r="49" hidden="1">
      <c r="A49" s="9">
        <f t="shared" si="3"/>
        <v>46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 t="shared" si="2"/>
      </c>
    </row>
    <row r="50" hidden="1">
      <c r="A50" s="9">
        <f t="shared" si="3"/>
        <v>47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 t="shared" si="2"/>
      </c>
    </row>
    <row r="51" hidden="1">
      <c r="A51" s="9">
        <f t="shared" si="3"/>
        <v>48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 t="shared" si="2"/>
      </c>
    </row>
    <row r="52" hidden="1">
      <c r="A52" s="9">
        <f t="shared" si="3"/>
        <v>49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 t="shared" si="2"/>
      </c>
    </row>
    <row r="53" hidden="1">
      <c r="A53" s="9">
        <f t="shared" si="3"/>
        <v>50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 t="shared" si="2"/>
      </c>
    </row>
    <row r="54" hidden="1">
      <c r="A54" s="9">
        <f t="shared" si="3"/>
        <v>51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 t="shared" si="2"/>
      </c>
    </row>
    <row r="55" hidden="1">
      <c r="A55" s="9">
        <f t="shared" si="3"/>
        <v>52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 t="shared" si="2"/>
      </c>
    </row>
    <row r="56" hidden="1">
      <c r="A56" s="9">
        <f t="shared" si="3"/>
        <v>53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 t="shared" si="2"/>
      </c>
    </row>
    <row r="57" hidden="1">
      <c r="A57" s="9">
        <f t="shared" si="3"/>
        <v>54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 t="shared" si="2"/>
      </c>
    </row>
    <row r="58" hidden="1">
      <c r="A58" s="9">
        <f t="shared" si="3"/>
        <v>55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 t="shared" si="2"/>
      </c>
    </row>
    <row r="59" hidden="1">
      <c r="A59" s="9">
        <f t="shared" si="3"/>
        <v>56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 t="shared" si="2"/>
      </c>
    </row>
    <row r="60" hidden="1">
      <c r="A60" s="9">
        <f t="shared" si="3"/>
        <v>57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 t="shared" si="2"/>
      </c>
    </row>
    <row r="61" hidden="1">
      <c r="A61" s="9">
        <f t="shared" si="3"/>
        <v>58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 t="shared" si="2"/>
      </c>
    </row>
    <row r="62" hidden="1">
      <c r="A62" s="9">
        <f t="shared" si="3"/>
        <v>59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 t="shared" si="2"/>
      </c>
    </row>
    <row r="63" hidden="1">
      <c r="A63" s="9">
        <f t="shared" si="3"/>
        <v>60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 t="shared" si="2"/>
      </c>
    </row>
    <row r="65" ht="19.5" customHeight="1">
      <c r="A65" s="16" t="s">
        <v>84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2"/>
      <c r="O65" s="2"/>
      <c r="P65" s="2"/>
      <c r="Q65" s="2"/>
      <c r="R65" s="2"/>
      <c r="S65" s="2"/>
      <c r="T65" s="3"/>
    </row>
    <row r="66" ht="15" customHeight="1">
      <c r="B66" s="4"/>
      <c r="C66" s="5" t="s">
        <v>81</v>
      </c>
      <c r="D66" s="17" t="s">
        <v>82</v>
      </c>
      <c r="E66" s="18"/>
      <c r="F66" s="19"/>
    </row>
    <row r="67" ht="22.5" customHeight="1">
      <c r="A67" s="6" t="s">
        <v>83</v>
      </c>
      <c r="B67" s="7" t="s">
        <v>4</v>
      </c>
      <c r="C67" s="7" t="s">
        <v>20</v>
      </c>
      <c r="D67" s="7" t="s">
        <v>64</v>
      </c>
      <c r="E67" s="7" t="s">
        <v>65</v>
      </c>
      <c r="F67" s="8" t="s">
        <v>82</v>
      </c>
    </row>
    <row r="68">
      <c r="A68" s="9">
        <v>1</v>
      </c>
      <c r="B68" s="10">
        <f>IF(INDEX(rngYear,A68+1)&lt;&gt;0,INDEX(rngYear,A68+1),"")</f>
        <v>1980</v>
      </c>
      <c r="C68" s="11">
        <f>IFERROR(INDEX(rngData,MATCH($B68,rngYear,0),MATCH(OFFSET(C68,-$A68,0),rngColumnNames,0)),"")</f>
        <v>0</v>
      </c>
      <c r="D68" s="11">
        <f>IFERROR(INDEX(rngData,MATCH($B68,rngYear,0),MATCH(OFFSET(D68,-$A68,0),rngColumnNames,0)),"")</f>
        <v>0</v>
      </c>
      <c r="E68" s="11">
        <f>IFERROR(INDEX(rngData,MATCH($B68,rngYear,0),MATCH(OFFSET(E68,-$A68,0),rngColumnNames,0)),"")</f>
        <v>0</v>
      </c>
      <c r="F68" s="11">
        <f ref="F68:F99" t="shared" si="4">IFERROR(E68-D68,"")</f>
        <v>0</v>
      </c>
    </row>
    <row r="69">
      <c r="A69" s="9">
        <f ref="A69:A100" t="shared" si="5">A68+1</f>
        <v>2</v>
      </c>
      <c r="B69" s="10">
        <f>IF(INDEX(rngYear,A69+1)&lt;&gt;0,INDEX(rngYear,A69+1),"")</f>
        <v>1981</v>
      </c>
      <c r="C69" s="11">
        <f>IFERROR(INDEX(rngData,MATCH($B69,rngYear,0),MATCH(OFFSET(C69,-$A69,0),rngColumnNames,0)),"")</f>
        <v>0</v>
      </c>
      <c r="D69" s="11">
        <f>IFERROR(INDEX(rngData,MATCH($B69,rngYear,0),MATCH(OFFSET(D69,-$A69,0),rngColumnNames,0)),"")</f>
        <v>0</v>
      </c>
      <c r="E69" s="11">
        <f>IFERROR(INDEX(rngData,MATCH($B69,rngYear,0),MATCH(OFFSET(E69,-$A69,0),rngColumnNames,0)),"")</f>
        <v>0</v>
      </c>
      <c r="F69" s="11">
        <f t="shared" si="4"/>
        <v>0</v>
      </c>
    </row>
    <row r="70">
      <c r="A70" s="9">
        <f t="shared" si="5"/>
        <v>3</v>
      </c>
      <c r="B70" s="10">
        <f>IF(INDEX(rngYear,A70+1)&lt;&gt;0,INDEX(rngYear,A70+1),"")</f>
        <v>1982</v>
      </c>
      <c r="C70" s="11">
        <f>IFERROR(INDEX(rngData,MATCH($B70,rngYear,0),MATCH(OFFSET(C70,-$A70,0),rngColumnNames,0)),"")</f>
        <v>0</v>
      </c>
      <c r="D70" s="11">
        <f>IFERROR(INDEX(rngData,MATCH($B70,rngYear,0),MATCH(OFFSET(D70,-$A70,0),rngColumnNames,0)),"")</f>
        <v>0</v>
      </c>
      <c r="E70" s="11">
        <f>IFERROR(INDEX(rngData,MATCH($B70,rngYear,0),MATCH(OFFSET(E70,-$A70,0),rngColumnNames,0)),"")</f>
        <v>0</v>
      </c>
      <c r="F70" s="11">
        <f t="shared" si="4"/>
        <v>0</v>
      </c>
    </row>
    <row r="71">
      <c r="A71" s="9">
        <f t="shared" si="5"/>
        <v>4</v>
      </c>
      <c r="B71" s="10">
        <f>IF(INDEX(rngYear,A71+1)&lt;&gt;0,INDEX(rngYear,A71+1),"")</f>
        <v>1983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 t="shared" si="4"/>
        <v>0</v>
      </c>
    </row>
    <row r="72">
      <c r="A72" s="9">
        <f t="shared" si="5"/>
        <v>5</v>
      </c>
      <c r="B72" s="10">
        <f>IF(INDEX(rngYear,A72+1)&lt;&gt;0,INDEX(rngYear,A72+1),"")</f>
        <v>1984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 t="shared" si="4"/>
        <v>0</v>
      </c>
    </row>
    <row r="73">
      <c r="A73" s="9">
        <f t="shared" si="5"/>
        <v>6</v>
      </c>
      <c r="B73" s="10">
        <f>IF(INDEX(rngYear,A73+1)&lt;&gt;0,INDEX(rngYear,A73+1),"")</f>
        <v>1985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 t="shared" si="4"/>
        <v>0</v>
      </c>
    </row>
    <row r="74">
      <c r="A74" s="9">
        <f t="shared" si="5"/>
        <v>7</v>
      </c>
      <c r="B74" s="10">
        <f>IF(INDEX(rngYear,A74+1)&lt;&gt;0,INDEX(rngYear,A74+1),"")</f>
        <v>1986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 t="shared" si="4"/>
        <v>0</v>
      </c>
    </row>
    <row r="75">
      <c r="A75" s="9">
        <f t="shared" si="5"/>
        <v>8</v>
      </c>
      <c r="B75" s="10">
        <f>IF(INDEX(rngYear,A75+1)&lt;&gt;0,INDEX(rngYear,A75+1),"")</f>
        <v>1987</v>
      </c>
      <c r="C75" s="11">
        <f>IFERROR(INDEX(rngData,MATCH($B75,rngYear,0),MATCH(OFFSET(C75,-$A75,0),rngColumnNames,0)),"")</f>
        <v>0</v>
      </c>
      <c r="D75" s="11">
        <f>IFERROR(INDEX(rngData,MATCH($B75,rngYear,0),MATCH(OFFSET(D75,-$A75,0),rngColumnNames,0)),"")</f>
        <v>0</v>
      </c>
      <c r="E75" s="11">
        <f>IFERROR(INDEX(rngData,MATCH($B75,rngYear,0),MATCH(OFFSET(E75,-$A75,0),rngColumnNames,0)),"")</f>
        <v>0</v>
      </c>
      <c r="F75" s="11">
        <f t="shared" si="4"/>
        <v>0</v>
      </c>
    </row>
    <row r="76">
      <c r="A76" s="9">
        <f t="shared" si="5"/>
        <v>9</v>
      </c>
      <c r="B76" s="10">
        <f>IF(INDEX(rngYear,A76+1)&lt;&gt;0,INDEX(rngYear,A76+1),"")</f>
        <v>1988</v>
      </c>
      <c r="C76" s="11">
        <f>IFERROR(INDEX(rngData,MATCH($B76,rngYear,0),MATCH(OFFSET(C76,-$A76,0),rngColumnNames,0)),"")</f>
        <v>0</v>
      </c>
      <c r="D76" s="11">
        <f>IFERROR(INDEX(rngData,MATCH($B76,rngYear,0),MATCH(OFFSET(D76,-$A76,0),rngColumnNames,0)),"")</f>
        <v>0</v>
      </c>
      <c r="E76" s="11">
        <f>IFERROR(INDEX(rngData,MATCH($B76,rngYear,0),MATCH(OFFSET(E76,-$A76,0),rngColumnNames,0)),"")</f>
        <v>0</v>
      </c>
      <c r="F76" s="11">
        <f t="shared" si="4"/>
        <v>0</v>
      </c>
    </row>
    <row r="77">
      <c r="A77" s="9">
        <f t="shared" si="5"/>
        <v>10</v>
      </c>
      <c r="B77" s="10">
        <f>IF(INDEX(rngYear,A77+1)&lt;&gt;0,INDEX(rngYear,A77+1),"")</f>
        <v>1989</v>
      </c>
      <c r="C77" s="11">
        <f>IFERROR(INDEX(rngData,MATCH($B77,rngYear,0),MATCH(OFFSET(C77,-$A77,0),rngColumnNames,0)),"")</f>
        <v>0</v>
      </c>
      <c r="D77" s="11">
        <f>IFERROR(INDEX(rngData,MATCH($B77,rngYear,0),MATCH(OFFSET(D77,-$A77,0),rngColumnNames,0)),"")</f>
        <v>0</v>
      </c>
      <c r="E77" s="11">
        <f>IFERROR(INDEX(rngData,MATCH($B77,rngYear,0),MATCH(OFFSET(E77,-$A77,0),rngColumnNames,0)),"")</f>
        <v>0</v>
      </c>
      <c r="F77" s="11">
        <f t="shared" si="4"/>
        <v>0</v>
      </c>
    </row>
    <row r="78">
      <c r="A78" s="9">
        <f t="shared" si="5"/>
        <v>11</v>
      </c>
      <c r="B78" s="10">
        <f>IF(INDEX(rngYear,A78+1)&lt;&gt;0,INDEX(rngYear,A78+1),"")</f>
        <v>1990</v>
      </c>
      <c r="C78" s="11">
        <f>IFERROR(INDEX(rngData,MATCH($B78,rngYear,0),MATCH(OFFSET(C78,-$A78,0),rngColumnNames,0)),"")</f>
        <v>0</v>
      </c>
      <c r="D78" s="11">
        <f>IFERROR(INDEX(rngData,MATCH($B78,rngYear,0),MATCH(OFFSET(D78,-$A78,0),rngColumnNames,0)),"")</f>
        <v>0</v>
      </c>
      <c r="E78" s="11">
        <f>IFERROR(INDEX(rngData,MATCH($B78,rngYear,0),MATCH(OFFSET(E78,-$A78,0),rngColumnNames,0)),"")</f>
        <v>0</v>
      </c>
      <c r="F78" s="11">
        <f t="shared" si="4"/>
        <v>0</v>
      </c>
    </row>
    <row r="79">
      <c r="A79" s="9">
        <f t="shared" si="5"/>
        <v>12</v>
      </c>
      <c r="B79" s="10">
        <f>IF(INDEX(rngYear,A79+1)&lt;&gt;0,INDEX(rngYear,A79+1),"")</f>
        <v>1991</v>
      </c>
      <c r="C79" s="11">
        <f>IFERROR(INDEX(rngData,MATCH($B79,rngYear,0),MATCH(OFFSET(C79,-$A79,0),rngColumnNames,0)),"")</f>
        <v>0</v>
      </c>
      <c r="D79" s="11">
        <f>IFERROR(INDEX(rngData,MATCH($B79,rngYear,0),MATCH(OFFSET(D79,-$A79,0),rngColumnNames,0)),"")</f>
        <v>0</v>
      </c>
      <c r="E79" s="11">
        <f>IFERROR(INDEX(rngData,MATCH($B79,rngYear,0),MATCH(OFFSET(E79,-$A79,0),rngColumnNames,0)),"")</f>
        <v>0</v>
      </c>
      <c r="F79" s="11">
        <f t="shared" si="4"/>
        <v>0</v>
      </c>
    </row>
    <row r="80">
      <c r="A80" s="9">
        <f t="shared" si="5"/>
        <v>13</v>
      </c>
      <c r="B80" s="10">
        <f>IF(INDEX(rngYear,A80+1)&lt;&gt;0,INDEX(rngYear,A80+1),"")</f>
        <v>1992</v>
      </c>
      <c r="C80" s="11">
        <f>IFERROR(INDEX(rngData,MATCH($B80,rngYear,0),MATCH(OFFSET(C80,-$A80,0),rngColumnNames,0)),"")</f>
        <v>0</v>
      </c>
      <c r="D80" s="11">
        <f>IFERROR(INDEX(rngData,MATCH($B80,rngYear,0),MATCH(OFFSET(D80,-$A80,0),rngColumnNames,0)),"")</f>
        <v>0</v>
      </c>
      <c r="E80" s="11">
        <f>IFERROR(INDEX(rngData,MATCH($B80,rngYear,0),MATCH(OFFSET(E80,-$A80,0),rngColumnNames,0)),"")</f>
        <v>0</v>
      </c>
      <c r="F80" s="11">
        <f t="shared" si="4"/>
        <v>0</v>
      </c>
    </row>
    <row r="81">
      <c r="A81" s="9">
        <f t="shared" si="5"/>
        <v>14</v>
      </c>
      <c r="B81" s="10">
        <f>IF(INDEX(rngYear,A81+1)&lt;&gt;0,INDEX(rngYear,A81+1),"")</f>
        <v>1993</v>
      </c>
      <c r="C81" s="11">
        <f>IFERROR(INDEX(rngData,MATCH($B81,rngYear,0),MATCH(OFFSET(C81,-$A81,0),rngColumnNames,0)),"")</f>
        <v>0</v>
      </c>
      <c r="D81" s="11">
        <f>IFERROR(INDEX(rngData,MATCH($B81,rngYear,0),MATCH(OFFSET(D81,-$A81,0),rngColumnNames,0)),"")</f>
        <v>0</v>
      </c>
      <c r="E81" s="11">
        <f>IFERROR(INDEX(rngData,MATCH($B81,rngYear,0),MATCH(OFFSET(E81,-$A81,0),rngColumnNames,0)),"")</f>
        <v>0</v>
      </c>
      <c r="F81" s="11">
        <f t="shared" si="4"/>
        <v>0</v>
      </c>
    </row>
    <row r="82">
      <c r="A82" s="9">
        <f t="shared" si="5"/>
        <v>15</v>
      </c>
      <c r="B82" s="10">
        <f>IF(INDEX(rngYear,A82+1)&lt;&gt;0,INDEX(rngYear,A82+1),"")</f>
        <v>1994</v>
      </c>
      <c r="C82" s="11">
        <f>IFERROR(INDEX(rngData,MATCH($B82,rngYear,0),MATCH(OFFSET(C82,-$A82,0),rngColumnNames,0)),"")</f>
        <v>0</v>
      </c>
      <c r="D82" s="11">
        <f>IFERROR(INDEX(rngData,MATCH($B82,rngYear,0),MATCH(OFFSET(D82,-$A82,0),rngColumnNames,0)),"")</f>
        <v>0</v>
      </c>
      <c r="E82" s="11">
        <f>IFERROR(INDEX(rngData,MATCH($B82,rngYear,0),MATCH(OFFSET(E82,-$A82,0),rngColumnNames,0)),"")</f>
        <v>0</v>
      </c>
      <c r="F82" s="11">
        <f t="shared" si="4"/>
        <v>0</v>
      </c>
    </row>
    <row r="83">
      <c r="A83" s="9">
        <f t="shared" si="5"/>
        <v>16</v>
      </c>
      <c r="B83" s="10">
        <f>IF(INDEX(rngYear,A83+1)&lt;&gt;0,INDEX(rngYear,A83+1),"")</f>
        <v>1995</v>
      </c>
      <c r="C83" s="11">
        <f>IFERROR(INDEX(rngData,MATCH($B83,rngYear,0),MATCH(OFFSET(C83,-$A83,0),rngColumnNames,0)),"")</f>
        <v>0</v>
      </c>
      <c r="D83" s="11">
        <f>IFERROR(INDEX(rngData,MATCH($B83,rngYear,0),MATCH(OFFSET(D83,-$A83,0),rngColumnNames,0)),"")</f>
        <v>0</v>
      </c>
      <c r="E83" s="11">
        <f>IFERROR(INDEX(rngData,MATCH($B83,rngYear,0),MATCH(OFFSET(E83,-$A83,0),rngColumnNames,0)),"")</f>
        <v>0</v>
      </c>
      <c r="F83" s="11">
        <f t="shared" si="4"/>
        <v>0</v>
      </c>
    </row>
    <row r="84">
      <c r="A84" s="9">
        <f t="shared" si="5"/>
        <v>17</v>
      </c>
      <c r="B84" s="10">
        <f>IF(INDEX(rngYear,A84+1)&lt;&gt;0,INDEX(rngYear,A84+1),"")</f>
        <v>1996</v>
      </c>
      <c r="C84" s="11">
        <f>IFERROR(INDEX(rngData,MATCH($B84,rngYear,0),MATCH(OFFSET(C84,-$A84,0),rngColumnNames,0)),"")</f>
        <v>0</v>
      </c>
      <c r="D84" s="11">
        <f>IFERROR(INDEX(rngData,MATCH($B84,rngYear,0),MATCH(OFFSET(D84,-$A84,0),rngColumnNames,0)),"")</f>
        <v>0</v>
      </c>
      <c r="E84" s="11">
        <f>IFERROR(INDEX(rngData,MATCH($B84,rngYear,0),MATCH(OFFSET(E84,-$A84,0),rngColumnNames,0)),"")</f>
        <v>0</v>
      </c>
      <c r="F84" s="11">
        <f t="shared" si="4"/>
        <v>0</v>
      </c>
    </row>
    <row r="85">
      <c r="A85" s="9">
        <f t="shared" si="5"/>
        <v>18</v>
      </c>
      <c r="B85" s="10">
        <f>IF(INDEX(rngYear,A85+1)&lt;&gt;0,INDEX(rngYear,A85+1),"")</f>
        <v>1997</v>
      </c>
      <c r="C85" s="11">
        <f>IFERROR(INDEX(rngData,MATCH($B85,rngYear,0),MATCH(OFFSET(C85,-$A85,0),rngColumnNames,0)),"")</f>
        <v>0</v>
      </c>
      <c r="D85" s="11">
        <f>IFERROR(INDEX(rngData,MATCH($B85,rngYear,0),MATCH(OFFSET(D85,-$A85,0),rngColumnNames,0)),"")</f>
        <v>0</v>
      </c>
      <c r="E85" s="11">
        <f>IFERROR(INDEX(rngData,MATCH($B85,rngYear,0),MATCH(OFFSET(E85,-$A85,0),rngColumnNames,0)),"")</f>
        <v>0</v>
      </c>
      <c r="F85" s="11">
        <f t="shared" si="4"/>
        <v>0</v>
      </c>
    </row>
    <row r="86">
      <c r="A86" s="9">
        <f t="shared" si="5"/>
        <v>19</v>
      </c>
      <c r="B86" s="10">
        <f>IF(INDEX(rngYear,A86+1)&lt;&gt;0,INDEX(rngYear,A86+1),"")</f>
        <v>1998</v>
      </c>
      <c r="C86" s="11">
        <f>IFERROR(INDEX(rngData,MATCH($B86,rngYear,0),MATCH(OFFSET(C86,-$A86,0),rngColumnNames,0)),"")</f>
        <v>0</v>
      </c>
      <c r="D86" s="11">
        <f>IFERROR(INDEX(rngData,MATCH($B86,rngYear,0),MATCH(OFFSET(D86,-$A86,0),rngColumnNames,0)),"")</f>
        <v>0</v>
      </c>
      <c r="E86" s="11">
        <f>IFERROR(INDEX(rngData,MATCH($B86,rngYear,0),MATCH(OFFSET(E86,-$A86,0),rngColumnNames,0)),"")</f>
        <v>0</v>
      </c>
      <c r="F86" s="11">
        <f t="shared" si="4"/>
        <v>0</v>
      </c>
    </row>
    <row r="87">
      <c r="A87" s="9">
        <f t="shared" si="5"/>
        <v>20</v>
      </c>
      <c r="B87" s="10">
        <f>IF(INDEX(rngYear,A87+1)&lt;&gt;0,INDEX(rngYear,A87+1),"")</f>
        <v>1999</v>
      </c>
      <c r="C87" s="11">
        <f>IFERROR(INDEX(rngData,MATCH($B87,rngYear,0),MATCH(OFFSET(C87,-$A87,0),rngColumnNames,0)),"")</f>
        <v>0</v>
      </c>
      <c r="D87" s="11">
        <f>IFERROR(INDEX(rngData,MATCH($B87,rngYear,0),MATCH(OFFSET(D87,-$A87,0),rngColumnNames,0)),"")</f>
        <v>0</v>
      </c>
      <c r="E87" s="11">
        <f>IFERROR(INDEX(rngData,MATCH($B87,rngYear,0),MATCH(OFFSET(E87,-$A87,0),rngColumnNames,0)),"")</f>
        <v>0</v>
      </c>
      <c r="F87" s="11">
        <f t="shared" si="4"/>
        <v>0</v>
      </c>
    </row>
    <row r="88">
      <c r="A88" s="9">
        <f t="shared" si="5"/>
        <v>21</v>
      </c>
      <c r="B88" s="10">
        <f>IF(INDEX(rngYear,A88+1)&lt;&gt;0,INDEX(rngYear,A88+1),"")</f>
        <v>2000</v>
      </c>
      <c r="C88" s="11">
        <f>IFERROR(INDEX(rngData,MATCH($B88,rngYear,0),MATCH(OFFSET(C88,-$A88,0),rngColumnNames,0)),"")</f>
        <v>0</v>
      </c>
      <c r="D88" s="11">
        <f>IFERROR(INDEX(rngData,MATCH($B88,rngYear,0),MATCH(OFFSET(D88,-$A88,0),rngColumnNames,0)),"")</f>
        <v>0</v>
      </c>
      <c r="E88" s="11">
        <f>IFERROR(INDEX(rngData,MATCH($B88,rngYear,0),MATCH(OFFSET(E88,-$A88,0),rngColumnNames,0)),"")</f>
        <v>0</v>
      </c>
      <c r="F88" s="11">
        <f t="shared" si="4"/>
        <v>0</v>
      </c>
    </row>
    <row r="89">
      <c r="A89" s="9">
        <f t="shared" si="5"/>
        <v>22</v>
      </c>
      <c r="B89" s="10">
        <f>IF(INDEX(rngYear,A89+1)&lt;&gt;0,INDEX(rngYear,A89+1),"")</f>
        <v>2001</v>
      </c>
      <c r="C89" s="11">
        <f>IFERROR(INDEX(rngData,MATCH($B89,rngYear,0),MATCH(OFFSET(C89,-$A89,0),rngColumnNames,0)),"")</f>
        <v>0</v>
      </c>
      <c r="D89" s="11">
        <f>IFERROR(INDEX(rngData,MATCH($B89,rngYear,0),MATCH(OFFSET(D89,-$A89,0),rngColumnNames,0)),"")</f>
        <v>0</v>
      </c>
      <c r="E89" s="11">
        <f>IFERROR(INDEX(rngData,MATCH($B89,rngYear,0),MATCH(OFFSET(E89,-$A89,0),rngColumnNames,0)),"")</f>
        <v>0</v>
      </c>
      <c r="F89" s="11">
        <f t="shared" si="4"/>
        <v>0</v>
      </c>
    </row>
    <row r="90">
      <c r="A90" s="9">
        <f t="shared" si="5"/>
        <v>23</v>
      </c>
      <c r="B90" s="10">
        <f>IF(INDEX(rngYear,A90+1)&lt;&gt;0,INDEX(rngYear,A90+1),"")</f>
        <v>2002</v>
      </c>
      <c r="C90" s="11">
        <f>IFERROR(INDEX(rngData,MATCH($B90,rngYear,0),MATCH(OFFSET(C90,-$A90,0),rngColumnNames,0)),"")</f>
        <v>0</v>
      </c>
      <c r="D90" s="11">
        <f>IFERROR(INDEX(rngData,MATCH($B90,rngYear,0),MATCH(OFFSET(D90,-$A90,0),rngColumnNames,0)),"")</f>
        <v>0</v>
      </c>
      <c r="E90" s="11">
        <f>IFERROR(INDEX(rngData,MATCH($B90,rngYear,0),MATCH(OFFSET(E90,-$A90,0),rngColumnNames,0)),"")</f>
        <v>0</v>
      </c>
      <c r="F90" s="11">
        <f t="shared" si="4"/>
        <v>0</v>
      </c>
    </row>
    <row r="91">
      <c r="A91" s="9">
        <f t="shared" si="5"/>
        <v>24</v>
      </c>
      <c r="B91" s="10">
        <f>IF(INDEX(rngYear,A91+1)&lt;&gt;0,INDEX(rngYear,A91+1),"")</f>
        <v>2003</v>
      </c>
      <c r="C91" s="11">
        <f>IFERROR(INDEX(rngData,MATCH($B91,rngYear,0),MATCH(OFFSET(C91,-$A91,0),rngColumnNames,0)),"")</f>
        <v>0</v>
      </c>
      <c r="D91" s="11">
        <f>IFERROR(INDEX(rngData,MATCH($B91,rngYear,0),MATCH(OFFSET(D91,-$A91,0),rngColumnNames,0)),"")</f>
        <v>0</v>
      </c>
      <c r="E91" s="11">
        <f>IFERROR(INDEX(rngData,MATCH($B91,rngYear,0),MATCH(OFFSET(E91,-$A91,0),rngColumnNames,0)),"")</f>
        <v>0</v>
      </c>
      <c r="F91" s="11">
        <f t="shared" si="4"/>
        <v>0</v>
      </c>
    </row>
    <row r="92">
      <c r="A92" s="9">
        <f t="shared" si="5"/>
        <v>25</v>
      </c>
      <c r="B92" s="10">
        <f>IF(INDEX(rngYear,A92+1)&lt;&gt;0,INDEX(rngYear,A92+1),"")</f>
        <v>2004</v>
      </c>
      <c r="C92" s="11">
        <f>IFERROR(INDEX(rngData,MATCH($B92,rngYear,0),MATCH(OFFSET(C92,-$A92,0),rngColumnNames,0)),"")</f>
        <v>0</v>
      </c>
      <c r="D92" s="11">
        <f>IFERROR(INDEX(rngData,MATCH($B92,rngYear,0),MATCH(OFFSET(D92,-$A92,0),rngColumnNames,0)),"")</f>
        <v>0</v>
      </c>
      <c r="E92" s="11">
        <f>IFERROR(INDEX(rngData,MATCH($B92,rngYear,0),MATCH(OFFSET(E92,-$A92,0),rngColumnNames,0)),"")</f>
        <v>0</v>
      </c>
      <c r="F92" s="11">
        <f t="shared" si="4"/>
        <v>0</v>
      </c>
    </row>
    <row r="93">
      <c r="A93" s="9">
        <f t="shared" si="5"/>
        <v>26</v>
      </c>
      <c r="B93" s="10">
        <f>IF(INDEX(rngYear,A93+1)&lt;&gt;0,INDEX(rngYear,A93+1),"")</f>
        <v>2005</v>
      </c>
      <c r="C93" s="11">
        <f>IFERROR(INDEX(rngData,MATCH($B93,rngYear,0),MATCH(OFFSET(C93,-$A93,0),rngColumnNames,0)),"")</f>
        <v>0</v>
      </c>
      <c r="D93" s="11">
        <f>IFERROR(INDEX(rngData,MATCH($B93,rngYear,0),MATCH(OFFSET(D93,-$A93,0),rngColumnNames,0)),"")</f>
        <v>0</v>
      </c>
      <c r="E93" s="11">
        <f>IFERROR(INDEX(rngData,MATCH($B93,rngYear,0),MATCH(OFFSET(E93,-$A93,0),rngColumnNames,0)),"")</f>
        <v>0</v>
      </c>
      <c r="F93" s="11">
        <f t="shared" si="4"/>
        <v>0</v>
      </c>
    </row>
    <row r="94">
      <c r="A94" s="9">
        <f t="shared" si="5"/>
        <v>27</v>
      </c>
      <c r="B94" s="10">
        <f>IF(INDEX(rngYear,A94+1)&lt;&gt;0,INDEX(rngYear,A94+1),"")</f>
        <v>2006</v>
      </c>
      <c r="C94" s="11">
        <f>IFERROR(INDEX(rngData,MATCH($B94,rngYear,0),MATCH(OFFSET(C94,-$A94,0),rngColumnNames,0)),"")</f>
        <v>0</v>
      </c>
      <c r="D94" s="11">
        <f>IFERROR(INDEX(rngData,MATCH($B94,rngYear,0),MATCH(OFFSET(D94,-$A94,0),rngColumnNames,0)),"")</f>
        <v>0</v>
      </c>
      <c r="E94" s="11">
        <f>IFERROR(INDEX(rngData,MATCH($B94,rngYear,0),MATCH(OFFSET(E94,-$A94,0),rngColumnNames,0)),"")</f>
        <v>0</v>
      </c>
      <c r="F94" s="11">
        <f t="shared" si="4"/>
        <v>0</v>
      </c>
    </row>
    <row r="95">
      <c r="A95" s="9">
        <f t="shared" si="5"/>
        <v>28</v>
      </c>
      <c r="B95" s="10">
        <f>IF(INDEX(rngYear,A95+1)&lt;&gt;0,INDEX(rngYear,A95+1),"")</f>
        <v>2007</v>
      </c>
      <c r="C95" s="11">
        <f>IFERROR(INDEX(rngData,MATCH($B95,rngYear,0),MATCH(OFFSET(C95,-$A95,0),rngColumnNames,0)),"")</f>
        <v>0</v>
      </c>
      <c r="D95" s="11">
        <f>IFERROR(INDEX(rngData,MATCH($B95,rngYear,0),MATCH(OFFSET(D95,-$A95,0),rngColumnNames,0)),"")</f>
        <v>0</v>
      </c>
      <c r="E95" s="11">
        <f>IFERROR(INDEX(rngData,MATCH($B95,rngYear,0),MATCH(OFFSET(E95,-$A95,0),rngColumnNames,0)),"")</f>
        <v>0</v>
      </c>
      <c r="F95" s="11">
        <f t="shared" si="4"/>
        <v>0</v>
      </c>
    </row>
    <row r="96">
      <c r="A96" s="9">
        <f t="shared" si="5"/>
        <v>29</v>
      </c>
      <c r="B96" s="10">
        <f>IF(INDEX(rngYear,A96+1)&lt;&gt;0,INDEX(rngYear,A96+1),"")</f>
        <v>2008</v>
      </c>
      <c r="C96" s="11">
        <f>IFERROR(INDEX(rngData,MATCH($B96,rngYear,0),MATCH(OFFSET(C96,-$A96,0),rngColumnNames,0)),"")</f>
        <v>0</v>
      </c>
      <c r="D96" s="11">
        <f>IFERROR(INDEX(rngData,MATCH($B96,rngYear,0),MATCH(OFFSET(D96,-$A96,0),rngColumnNames,0)),"")</f>
        <v>0</v>
      </c>
      <c r="E96" s="11">
        <f>IFERROR(INDEX(rngData,MATCH($B96,rngYear,0),MATCH(OFFSET(E96,-$A96,0),rngColumnNames,0)),"")</f>
        <v>0</v>
      </c>
      <c r="F96" s="11">
        <f t="shared" si="4"/>
        <v>0</v>
      </c>
    </row>
    <row r="97">
      <c r="A97" s="9">
        <f t="shared" si="5"/>
        <v>30</v>
      </c>
      <c r="B97" s="10">
        <f>IF(INDEX(rngYear,A97+1)&lt;&gt;0,INDEX(rngYear,A97+1),"")</f>
        <v>2009</v>
      </c>
      <c r="C97" s="11">
        <f>IFERROR(INDEX(rngData,MATCH($B97,rngYear,0),MATCH(OFFSET(C97,-$A97,0),rngColumnNames,0)),"")</f>
        <v>0</v>
      </c>
      <c r="D97" s="11">
        <f>IFERROR(INDEX(rngData,MATCH($B97,rngYear,0),MATCH(OFFSET(D97,-$A97,0),rngColumnNames,0)),"")</f>
        <v>0</v>
      </c>
      <c r="E97" s="11">
        <f>IFERROR(INDEX(rngData,MATCH($B97,rngYear,0),MATCH(OFFSET(E97,-$A97,0),rngColumnNames,0)),"")</f>
        <v>0</v>
      </c>
      <c r="F97" s="11">
        <f t="shared" si="4"/>
        <v>0</v>
      </c>
    </row>
    <row r="98">
      <c r="A98" s="9">
        <f t="shared" si="5"/>
        <v>31</v>
      </c>
      <c r="B98" s="10">
        <f>IF(INDEX(rngYear,A98+1)&lt;&gt;0,INDEX(rngYear,A98+1),"")</f>
        <v>2010</v>
      </c>
      <c r="C98" s="11">
        <f>IFERROR(INDEX(rngData,MATCH($B98,rngYear,0),MATCH(OFFSET(C98,-$A98,0),rngColumnNames,0)),"")</f>
        <v>0</v>
      </c>
      <c r="D98" s="11">
        <f>IFERROR(INDEX(rngData,MATCH($B98,rngYear,0),MATCH(OFFSET(D98,-$A98,0),rngColumnNames,0)),"")</f>
        <v>0</v>
      </c>
      <c r="E98" s="11">
        <f>IFERROR(INDEX(rngData,MATCH($B98,rngYear,0),MATCH(OFFSET(E98,-$A98,0),rngColumnNames,0)),"")</f>
        <v>0</v>
      </c>
      <c r="F98" s="11">
        <f t="shared" si="4"/>
        <v>0</v>
      </c>
    </row>
    <row r="99">
      <c r="A99" s="9">
        <f t="shared" si="5"/>
        <v>32</v>
      </c>
      <c r="B99" s="10">
        <f>IF(INDEX(rngYear,A99+1)&lt;&gt;0,INDEX(rngYear,A99+1),"")</f>
        <v>2011</v>
      </c>
      <c r="C99" s="11">
        <f>IFERROR(INDEX(rngData,MATCH($B99,rngYear,0),MATCH(OFFSET(C99,-$A99,0),rngColumnNames,0)),"")</f>
        <v>0</v>
      </c>
      <c r="D99" s="11">
        <f>IFERROR(INDEX(rngData,MATCH($B99,rngYear,0),MATCH(OFFSET(D99,-$A99,0),rngColumnNames,0)),"")</f>
        <v>0</v>
      </c>
      <c r="E99" s="11">
        <f>IFERROR(INDEX(rngData,MATCH($B99,rngYear,0),MATCH(OFFSET(E99,-$A99,0),rngColumnNames,0)),"")</f>
        <v>0</v>
      </c>
      <c r="F99" s="11">
        <f t="shared" si="4"/>
        <v>0</v>
      </c>
    </row>
    <row r="100">
      <c r="A100" s="9">
        <f t="shared" si="5"/>
        <v>33</v>
      </c>
      <c r="B100" s="10">
        <f>IF(INDEX(rngYear,A100+1)&lt;&gt;0,INDEX(rngYear,A100+1),"")</f>
        <v>2012</v>
      </c>
      <c r="C100" s="11">
        <f>IFERROR(INDEX(rngData,MATCH($B100,rngYear,0),MATCH(OFFSET(C100,-$A100,0),rngColumnNames,0)),"")</f>
        <v>0</v>
      </c>
      <c r="D100" s="11">
        <f>IFERROR(INDEX(rngData,MATCH($B100,rngYear,0),MATCH(OFFSET(D100,-$A100,0),rngColumnNames,0)),"")</f>
        <v>0</v>
      </c>
      <c r="E100" s="11">
        <f>IFERROR(INDEX(rngData,MATCH($B100,rngYear,0),MATCH(OFFSET(E100,-$A100,0),rngColumnNames,0)),"")</f>
        <v>0</v>
      </c>
      <c r="F100" s="11">
        <f ref="F100:F127" t="shared" si="6">IFERROR(E100-D100,"")</f>
        <v>0</v>
      </c>
    </row>
    <row r="101" hidden="1">
      <c r="A101" s="9">
        <f ref="A101:A127" t="shared" si="7">A100+1</f>
        <v>34</v>
      </c>
      <c r="B101" s="10">
        <f>IF(INDEX(rngYear,A101+1)&lt;&gt;0,INDEX(rngYear,A101+1),"")</f>
      </c>
      <c r="C101" s="11">
        <f>IFERROR(INDEX(rngData,MATCH($B101,rngYear,0),MATCH(OFFSET(C101,-$A101,0),rngColumnNames,0)),"")</f>
      </c>
      <c r="D101" s="11">
        <f>IFERROR(INDEX(rngData,MATCH($B101,rngYear,0),MATCH(OFFSET(D101,-$A101,0),rngColumnNames,0)),"")</f>
      </c>
      <c r="E101" s="11">
        <f>IFERROR(INDEX(rngData,MATCH($B101,rngYear,0),MATCH(OFFSET(E101,-$A101,0),rngColumnNames,0)),"")</f>
      </c>
      <c r="F101" s="11">
        <f t="shared" si="6"/>
      </c>
    </row>
    <row r="102" hidden="1">
      <c r="A102" s="9">
        <f t="shared" si="7"/>
        <v>35</v>
      </c>
      <c r="B102" s="10">
        <f>IF(INDEX(rngYear,A102+1)&lt;&gt;0,INDEX(rngYear,A102+1),"")</f>
      </c>
      <c r="C102" s="11">
        <f>IFERROR(INDEX(rngData,MATCH($B102,rngYear,0),MATCH(OFFSET(C102,-$A102,0),rngColumnNames,0)),"")</f>
      </c>
      <c r="D102" s="11">
        <f>IFERROR(INDEX(rngData,MATCH($B102,rngYear,0),MATCH(OFFSET(D102,-$A102,0),rngColumnNames,0)),"")</f>
      </c>
      <c r="E102" s="11">
        <f>IFERROR(INDEX(rngData,MATCH($B102,rngYear,0),MATCH(OFFSET(E102,-$A102,0),rngColumnNames,0)),"")</f>
      </c>
      <c r="F102" s="11">
        <f t="shared" si="6"/>
      </c>
    </row>
    <row r="103" hidden="1">
      <c r="A103" s="9">
        <f t="shared" si="7"/>
        <v>36</v>
      </c>
      <c r="B103" s="10">
        <f>IF(INDEX(rngYear,A103+1)&lt;&gt;0,INDEX(rngYear,A103+1),"")</f>
      </c>
      <c r="C103" s="11">
        <f>IFERROR(INDEX(rngData,MATCH($B103,rngYear,0),MATCH(OFFSET(C103,-$A103,0),rngColumnNames,0)),"")</f>
      </c>
      <c r="D103" s="11">
        <f>IFERROR(INDEX(rngData,MATCH($B103,rngYear,0),MATCH(OFFSET(D103,-$A103,0),rngColumnNames,0)),"")</f>
      </c>
      <c r="E103" s="11">
        <f>IFERROR(INDEX(rngData,MATCH($B103,rngYear,0),MATCH(OFFSET(E103,-$A103,0),rngColumnNames,0)),"")</f>
      </c>
      <c r="F103" s="11">
        <f t="shared" si="6"/>
      </c>
    </row>
    <row r="104" hidden="1">
      <c r="A104" s="9">
        <f t="shared" si="7"/>
        <v>37</v>
      </c>
      <c r="B104" s="10">
        <f>IF(INDEX(rngYear,A104+1)&lt;&gt;0,INDEX(rngYear,A104+1),"")</f>
      </c>
      <c r="C104" s="11">
        <f>IFERROR(INDEX(rngData,MATCH($B104,rngYear,0),MATCH(OFFSET(C104,-$A104,0),rngColumnNames,0)),"")</f>
      </c>
      <c r="D104" s="11">
        <f>IFERROR(INDEX(rngData,MATCH($B104,rngYear,0),MATCH(OFFSET(D104,-$A104,0),rngColumnNames,0)),"")</f>
      </c>
      <c r="E104" s="11">
        <f>IFERROR(INDEX(rngData,MATCH($B104,rngYear,0),MATCH(OFFSET(E104,-$A104,0),rngColumnNames,0)),"")</f>
      </c>
      <c r="F104" s="11">
        <f t="shared" si="6"/>
      </c>
    </row>
    <row r="105" hidden="1">
      <c r="A105" s="9">
        <f t="shared" si="7"/>
        <v>38</v>
      </c>
      <c r="B105" s="10">
        <f>IF(INDEX(rngYear,A105+1)&lt;&gt;0,INDEX(rngYear,A105+1),"")</f>
      </c>
      <c r="C105" s="11">
        <f>IFERROR(INDEX(rngData,MATCH($B105,rngYear,0),MATCH(OFFSET(C105,-$A105,0),rngColumnNames,0)),"")</f>
      </c>
      <c r="D105" s="11">
        <f>IFERROR(INDEX(rngData,MATCH($B105,rngYear,0),MATCH(OFFSET(D105,-$A105,0),rngColumnNames,0)),"")</f>
      </c>
      <c r="E105" s="11">
        <f>IFERROR(INDEX(rngData,MATCH($B105,rngYear,0),MATCH(OFFSET(E105,-$A105,0),rngColumnNames,0)),"")</f>
      </c>
      <c r="F105" s="11">
        <f t="shared" si="6"/>
      </c>
    </row>
    <row r="106" hidden="1">
      <c r="A106" s="9">
        <f t="shared" si="7"/>
        <v>39</v>
      </c>
      <c r="B106" s="10">
        <f>IF(INDEX(rngYear,A106+1)&lt;&gt;0,INDEX(rngYear,A106+1),"")</f>
      </c>
      <c r="C106" s="11">
        <f>IFERROR(INDEX(rngData,MATCH($B106,rngYear,0),MATCH(OFFSET(C106,-$A106,0),rngColumnNames,0)),"")</f>
      </c>
      <c r="D106" s="11">
        <f>IFERROR(INDEX(rngData,MATCH($B106,rngYear,0),MATCH(OFFSET(D106,-$A106,0),rngColumnNames,0)),"")</f>
      </c>
      <c r="E106" s="11">
        <f>IFERROR(INDEX(rngData,MATCH($B106,rngYear,0),MATCH(OFFSET(E106,-$A106,0),rngColumnNames,0)),"")</f>
      </c>
      <c r="F106" s="11">
        <f t="shared" si="6"/>
      </c>
    </row>
    <row r="107" hidden="1">
      <c r="A107" s="9">
        <f t="shared" si="7"/>
        <v>40</v>
      </c>
      <c r="B107" s="10">
        <f>IF(INDEX(rngYear,A107+1)&lt;&gt;0,INDEX(rngYear,A107+1),"")</f>
      </c>
      <c r="C107" s="11">
        <f>IFERROR(INDEX(rngData,MATCH($B107,rngYear,0),MATCH(OFFSET(C107,-$A107,0),rngColumnNames,0)),"")</f>
      </c>
      <c r="D107" s="11">
        <f>IFERROR(INDEX(rngData,MATCH($B107,rngYear,0),MATCH(OFFSET(D107,-$A107,0),rngColumnNames,0)),"")</f>
      </c>
      <c r="E107" s="11">
        <f>IFERROR(INDEX(rngData,MATCH($B107,rngYear,0),MATCH(OFFSET(E107,-$A107,0),rngColumnNames,0)),"")</f>
      </c>
      <c r="F107" s="11">
        <f t="shared" si="6"/>
      </c>
    </row>
    <row r="108" hidden="1">
      <c r="A108" s="9">
        <f t="shared" si="7"/>
        <v>41</v>
      </c>
      <c r="B108" s="10">
        <f>IF(INDEX(rngYear,A108+1)&lt;&gt;0,INDEX(rngYear,A108+1),"")</f>
      </c>
      <c r="C108" s="11">
        <f>IFERROR(INDEX(rngData,MATCH($B108,rngYear,0),MATCH(OFFSET(C108,-$A108,0),rngColumnNames,0)),"")</f>
      </c>
      <c r="D108" s="11">
        <f>IFERROR(INDEX(rngData,MATCH($B108,rngYear,0),MATCH(OFFSET(D108,-$A108,0),rngColumnNames,0)),"")</f>
      </c>
      <c r="E108" s="11">
        <f>IFERROR(INDEX(rngData,MATCH($B108,rngYear,0),MATCH(OFFSET(E108,-$A108,0),rngColumnNames,0)),"")</f>
      </c>
      <c r="F108" s="11">
        <f t="shared" si="6"/>
      </c>
    </row>
    <row r="109" hidden="1">
      <c r="A109" s="9">
        <f t="shared" si="7"/>
        <v>42</v>
      </c>
      <c r="B109" s="10">
        <f>IF(INDEX(rngYear,A109+1)&lt;&gt;0,INDEX(rngYear,A109+1),"")</f>
      </c>
      <c r="C109" s="11">
        <f>IFERROR(INDEX(rngData,MATCH($B109,rngYear,0),MATCH(OFFSET(C109,-$A109,0),rngColumnNames,0)),"")</f>
      </c>
      <c r="D109" s="11">
        <f>IFERROR(INDEX(rngData,MATCH($B109,rngYear,0),MATCH(OFFSET(D109,-$A109,0),rngColumnNames,0)),"")</f>
      </c>
      <c r="E109" s="11">
        <f>IFERROR(INDEX(rngData,MATCH($B109,rngYear,0),MATCH(OFFSET(E109,-$A109,0),rngColumnNames,0)),"")</f>
      </c>
      <c r="F109" s="11">
        <f t="shared" si="6"/>
      </c>
    </row>
    <row r="110" hidden="1">
      <c r="A110" s="9">
        <f t="shared" si="7"/>
        <v>43</v>
      </c>
      <c r="B110" s="10">
        <f>IF(INDEX(rngYear,A110+1)&lt;&gt;0,INDEX(rngYear,A110+1),"")</f>
      </c>
      <c r="C110" s="11">
        <f>IFERROR(INDEX(rngData,MATCH($B110,rngYear,0),MATCH(OFFSET(C110,-$A110,0),rngColumnNames,0)),"")</f>
      </c>
      <c r="D110" s="11">
        <f>IFERROR(INDEX(rngData,MATCH($B110,rngYear,0),MATCH(OFFSET(D110,-$A110,0),rngColumnNames,0)),"")</f>
      </c>
      <c r="E110" s="11">
        <f>IFERROR(INDEX(rngData,MATCH($B110,rngYear,0),MATCH(OFFSET(E110,-$A110,0),rngColumnNames,0)),"")</f>
      </c>
      <c r="F110" s="11">
        <f t="shared" si="6"/>
      </c>
    </row>
    <row r="111" hidden="1">
      <c r="A111" s="9">
        <f t="shared" si="7"/>
        <v>44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 t="shared" si="6"/>
      </c>
    </row>
    <row r="112" hidden="1">
      <c r="A112" s="9">
        <f t="shared" si="7"/>
        <v>45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 t="shared" si="6"/>
      </c>
    </row>
    <row r="113" hidden="1">
      <c r="A113" s="9">
        <f t="shared" si="7"/>
        <v>46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 t="shared" si="6"/>
      </c>
    </row>
    <row r="114" hidden="1">
      <c r="A114" s="9">
        <f t="shared" si="7"/>
        <v>47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 t="shared" si="6"/>
      </c>
    </row>
    <row r="115" hidden="1">
      <c r="A115" s="9">
        <f t="shared" si="7"/>
        <v>48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 t="shared" si="6"/>
      </c>
    </row>
    <row r="116" hidden="1">
      <c r="A116" s="9">
        <f t="shared" si="7"/>
        <v>49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 t="shared" si="6"/>
      </c>
    </row>
    <row r="117" hidden="1">
      <c r="A117" s="9">
        <f t="shared" si="7"/>
        <v>50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 t="shared" si="6"/>
      </c>
    </row>
    <row r="118" hidden="1">
      <c r="A118" s="9">
        <f t="shared" si="7"/>
        <v>51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 t="shared" si="6"/>
      </c>
    </row>
    <row r="119" hidden="1">
      <c r="A119" s="9">
        <f t="shared" si="7"/>
        <v>52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 t="shared" si="6"/>
      </c>
    </row>
    <row r="120" hidden="1">
      <c r="A120" s="9">
        <f t="shared" si="7"/>
        <v>53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 t="shared" si="6"/>
      </c>
    </row>
    <row r="121" hidden="1">
      <c r="A121" s="9">
        <f t="shared" si="7"/>
        <v>54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 t="shared" si="6"/>
      </c>
    </row>
    <row r="122" hidden="1">
      <c r="A122" s="9">
        <f t="shared" si="7"/>
        <v>55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 t="shared" si="6"/>
      </c>
    </row>
    <row r="123" hidden="1">
      <c r="A123" s="9">
        <f t="shared" si="7"/>
        <v>56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 t="shared" si="6"/>
      </c>
    </row>
    <row r="124" hidden="1">
      <c r="A124" s="9">
        <f t="shared" si="7"/>
        <v>57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 t="shared" si="6"/>
      </c>
    </row>
    <row r="125" hidden="1">
      <c r="A125" s="9">
        <f t="shared" si="7"/>
        <v>58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 t="shared" si="6"/>
      </c>
    </row>
    <row r="126" hidden="1">
      <c r="A126" s="9">
        <f t="shared" si="7"/>
        <v>59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 t="shared" si="6"/>
      </c>
    </row>
    <row r="127" hidden="1">
      <c r="A127" s="9">
        <f t="shared" si="7"/>
        <v>60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 t="shared" si="6"/>
      </c>
    </row>
    <row r="129" ht="19.5" customHeight="1">
      <c r="A129" s="16" t="s">
        <v>85</v>
      </c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</row>
    <row r="130" ht="22.5" customHeight="1">
      <c r="B130" s="4"/>
      <c r="C130" s="5" t="s">
        <v>81</v>
      </c>
      <c r="D130" s="17" t="s">
        <v>82</v>
      </c>
      <c r="E130" s="18"/>
      <c r="F130" s="19"/>
      <c r="G130" s="13" t="s">
        <v>86</v>
      </c>
      <c r="H130" s="23" t="s">
        <v>87</v>
      </c>
      <c r="I130" s="24"/>
      <c r="J130" s="25"/>
      <c r="K130" s="14" t="s">
        <v>88</v>
      </c>
      <c r="L130" s="20" t="s">
        <v>89</v>
      </c>
      <c r="M130" s="21"/>
      <c r="N130" s="22"/>
    </row>
    <row r="131" ht="22.5" customHeight="1">
      <c r="A131" s="6" t="s">
        <v>83</v>
      </c>
      <c r="B131" s="7" t="s">
        <v>4</v>
      </c>
      <c r="C131" s="7" t="s">
        <v>25</v>
      </c>
      <c r="D131" s="7" t="s">
        <v>48</v>
      </c>
      <c r="E131" s="7" t="s">
        <v>49</v>
      </c>
      <c r="F131" s="8" t="s">
        <v>90</v>
      </c>
      <c r="G131" s="7" t="s">
        <v>26</v>
      </c>
      <c r="H131" s="7" t="s">
        <v>50</v>
      </c>
      <c r="I131" s="7" t="s">
        <v>51</v>
      </c>
      <c r="J131" s="8" t="s">
        <v>91</v>
      </c>
      <c r="K131" s="7" t="s">
        <v>27</v>
      </c>
      <c r="L131" s="7" t="s">
        <v>52</v>
      </c>
      <c r="M131" s="7" t="s">
        <v>53</v>
      </c>
      <c r="N131" s="8" t="s">
        <v>92</v>
      </c>
    </row>
    <row r="132">
      <c r="A132" s="9">
        <v>1</v>
      </c>
      <c r="B132" s="10">
        <f>IF(INDEX(rngYear,A132+1)&lt;&gt;0,INDEX(rngYear,A132+1),"")</f>
        <v>1980</v>
      </c>
      <c r="C132" s="11">
        <f>IFERROR(INDEX(rngData,MATCH($B132,rngYear,0),MATCH(OFFSET(C132,-$A132,0),rngColumnNames,0)),"")</f>
        <v>0</v>
      </c>
      <c r="D132" s="11">
        <f>IFERROR(INDEX(rngData,MATCH($B132,rngYear,0),MATCH(OFFSET(D132,-$A132,0),rngColumnNames,0)),"")</f>
        <v>0</v>
      </c>
      <c r="E132" s="11">
        <f>IFERROR(INDEX(rngData,MATCH($B132,rngYear,0),MATCH(OFFSET(E132,-$A132,0),rngColumnNames,0)),"")</f>
        <v>0</v>
      </c>
      <c r="F132" s="11">
        <f ref="F132:F163" t="shared" si="8">IFERROR(E132-D132,"")</f>
        <v>0</v>
      </c>
      <c r="G132" s="11">
        <f>IFERROR(INDEX(rngData,MATCH($B132,rngYear,0),MATCH(OFFSET(G132,-$A132,0),rngColumnNames,0)),"")</f>
        <v>0</v>
      </c>
      <c r="H132" s="11">
        <f>IFERROR(INDEX(rngData,MATCH($B132,rngYear,0),MATCH(OFFSET(H132,-$A132,0),rngColumnNames,0)),"")</f>
        <v>0</v>
      </c>
      <c r="I132" s="11">
        <f>IFERROR(INDEX(rngData,MATCH($B132,rngYear,0),MATCH(OFFSET(I132,-$A132,0),rngColumnNames,0)),"")</f>
        <v>0</v>
      </c>
      <c r="J132" s="11">
        <f ref="J132:J163" t="shared" si="9">IFERROR(I132-H132,"")</f>
        <v>0</v>
      </c>
      <c r="K132" s="11">
        <f>IFERROR(INDEX(rngData,MATCH($B132,rngYear,0),MATCH(OFFSET(K132,-$A132,0),rngColumnNames,0)),"")</f>
        <v>0</v>
      </c>
      <c r="L132" s="11">
        <f>IFERROR(INDEX(rngData,MATCH($B132,rngYear,0),MATCH(OFFSET(L132,-$A132,0),rngColumnNames,0)),"")</f>
        <v>0</v>
      </c>
      <c r="M132" s="11">
        <f>IFERROR(INDEX(rngData,MATCH($B132,rngYear,0),MATCH(OFFSET(M132,-$A132,0),rngColumnNames,0)),"")</f>
        <v>0</v>
      </c>
      <c r="N132" s="11">
        <f ref="N132:N163" t="shared" si="10">IFERROR(M132-L132,"")</f>
        <v>0</v>
      </c>
    </row>
    <row r="133">
      <c r="A133" s="9">
        <f ref="A133:A164" t="shared" si="11">A132+1</f>
        <v>2</v>
      </c>
      <c r="B133" s="10">
        <f>IF(INDEX(rngYear,A133+1)&lt;&gt;0,INDEX(rngYear,A133+1),"")</f>
        <v>1981</v>
      </c>
      <c r="C133" s="11">
        <f>IFERROR(INDEX(rngData,MATCH($B133,rngYear,0),MATCH(OFFSET(C133,-$A133,0),rngColumnNames,0)),"")</f>
        <v>0</v>
      </c>
      <c r="D133" s="11">
        <f>IFERROR(INDEX(rngData,MATCH($B133,rngYear,0),MATCH(OFFSET(D133,-$A133,0),rngColumnNames,0)),"")</f>
        <v>0</v>
      </c>
      <c r="E133" s="11">
        <f>IFERROR(INDEX(rngData,MATCH($B133,rngYear,0),MATCH(OFFSET(E133,-$A133,0),rngColumnNames,0)),"")</f>
        <v>0</v>
      </c>
      <c r="F133" s="11">
        <f t="shared" si="8"/>
        <v>0</v>
      </c>
      <c r="G133" s="11">
        <f>IFERROR(INDEX(rngData,MATCH($B133,rngYear,0),MATCH(OFFSET(G133,-$A133,0),rngColumnNames,0)),"")</f>
        <v>0</v>
      </c>
      <c r="H133" s="11">
        <f>IFERROR(INDEX(rngData,MATCH($B133,rngYear,0),MATCH(OFFSET(H133,-$A133,0),rngColumnNames,0)),"")</f>
        <v>0</v>
      </c>
      <c r="I133" s="11">
        <f>IFERROR(INDEX(rngData,MATCH($B133,rngYear,0),MATCH(OFFSET(I133,-$A133,0),rngColumnNames,0)),"")</f>
        <v>0</v>
      </c>
      <c r="J133" s="11">
        <f t="shared" si="9"/>
        <v>0</v>
      </c>
      <c r="K133" s="15">
        <f>IFERROR(INDEX(rngData,MATCH($B133,rngYear,0),MATCH(OFFSET(K133,-$A133,0),rngColumnNames,0)),"")</f>
        <v>0</v>
      </c>
      <c r="L133" s="15">
        <f>IFERROR(INDEX(rngData,MATCH($B133,rngYear,0),MATCH(OFFSET(L133,-$A133,0),rngColumnNames,0)),"")</f>
        <v>0</v>
      </c>
      <c r="M133" s="15">
        <f>IFERROR(INDEX(rngData,MATCH($B133,rngYear,0),MATCH(OFFSET(M133,-$A133,0),rngColumnNames,0)),"")</f>
        <v>0</v>
      </c>
      <c r="N133" s="15">
        <f t="shared" si="10"/>
        <v>0</v>
      </c>
    </row>
    <row r="134">
      <c r="A134" s="9">
        <f t="shared" si="11"/>
        <v>3</v>
      </c>
      <c r="B134" s="10">
        <f>IF(INDEX(rngYear,A134+1)&lt;&gt;0,INDEX(rngYear,A134+1),"")</f>
        <v>1982</v>
      </c>
      <c r="C134" s="11">
        <f>IFERROR(INDEX(rngData,MATCH($B134,rngYear,0),MATCH(OFFSET(C134,-$A134,0),rngColumnNames,0)),"")</f>
        <v>0</v>
      </c>
      <c r="D134" s="11">
        <f>IFERROR(INDEX(rngData,MATCH($B134,rngYear,0),MATCH(OFFSET(D134,-$A134,0),rngColumnNames,0)),"")</f>
        <v>0</v>
      </c>
      <c r="E134" s="11">
        <f>IFERROR(INDEX(rngData,MATCH($B134,rngYear,0),MATCH(OFFSET(E134,-$A134,0),rngColumnNames,0)),"")</f>
        <v>0</v>
      </c>
      <c r="F134" s="11">
        <f t="shared" si="8"/>
        <v>0</v>
      </c>
      <c r="G134" s="11">
        <f>IFERROR(INDEX(rngData,MATCH($B134,rngYear,0),MATCH(OFFSET(G134,-$A134,0),rngColumnNames,0)),"")</f>
        <v>0</v>
      </c>
      <c r="H134" s="11">
        <f>IFERROR(INDEX(rngData,MATCH($B134,rngYear,0),MATCH(OFFSET(H134,-$A134,0),rngColumnNames,0)),"")</f>
        <v>0</v>
      </c>
      <c r="I134" s="11">
        <f>IFERROR(INDEX(rngData,MATCH($B134,rngYear,0),MATCH(OFFSET(I134,-$A134,0),rngColumnNames,0)),"")</f>
        <v>0</v>
      </c>
      <c r="J134" s="11">
        <f t="shared" si="9"/>
        <v>0</v>
      </c>
      <c r="K134" s="15">
        <f>IFERROR(INDEX(rngData,MATCH($B134,rngYear,0),MATCH(OFFSET(K134,-$A134,0),rngColumnNames,0)),"")</f>
        <v>0</v>
      </c>
      <c r="L134" s="15">
        <f>IFERROR(INDEX(rngData,MATCH($B134,rngYear,0),MATCH(OFFSET(L134,-$A134,0),rngColumnNames,0)),"")</f>
        <v>0</v>
      </c>
      <c r="M134" s="15">
        <f>IFERROR(INDEX(rngData,MATCH($B134,rngYear,0),MATCH(OFFSET(M134,-$A134,0),rngColumnNames,0)),"")</f>
        <v>0</v>
      </c>
      <c r="N134" s="15">
        <f t="shared" si="10"/>
        <v>0</v>
      </c>
    </row>
    <row r="135">
      <c r="A135" s="9">
        <f t="shared" si="11"/>
        <v>4</v>
      </c>
      <c r="B135" s="10">
        <f>IF(INDEX(rngYear,A135+1)&lt;&gt;0,INDEX(rngYear,A135+1),"")</f>
        <v>1983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 t="shared" si="8"/>
        <v>0</v>
      </c>
      <c r="G135" s="11">
        <f>IFERROR(INDEX(rngData,MATCH($B135,rngYear,0),MATCH(OFFSET(G135,-$A135,0),rngColumnNames,0)),"")</f>
        <v>0</v>
      </c>
      <c r="H135" s="11">
        <f>IFERROR(INDEX(rngData,MATCH($B135,rngYear,0),MATCH(OFFSET(H135,-$A135,0),rngColumnNames,0)),"")</f>
        <v>0</v>
      </c>
      <c r="I135" s="11">
        <f>IFERROR(INDEX(rngData,MATCH($B135,rngYear,0),MATCH(OFFSET(I135,-$A135,0),rngColumnNames,0)),"")</f>
        <v>0</v>
      </c>
      <c r="J135" s="11">
        <f t="shared" si="9"/>
        <v>0</v>
      </c>
      <c r="K135" s="15">
        <f>IFERROR(INDEX(rngData,MATCH($B135,rngYear,0),MATCH(OFFSET(K135,-$A135,0),rngColumnNames,0)),"")</f>
        <v>0</v>
      </c>
      <c r="L135" s="15">
        <f>IFERROR(INDEX(rngData,MATCH($B135,rngYear,0),MATCH(OFFSET(L135,-$A135,0),rngColumnNames,0)),"")</f>
        <v>0</v>
      </c>
      <c r="M135" s="15">
        <f>IFERROR(INDEX(rngData,MATCH($B135,rngYear,0),MATCH(OFFSET(M135,-$A135,0),rngColumnNames,0)),"")</f>
        <v>0</v>
      </c>
      <c r="N135" s="15">
        <f t="shared" si="10"/>
        <v>0</v>
      </c>
    </row>
    <row r="136">
      <c r="A136" s="9">
        <f t="shared" si="11"/>
        <v>5</v>
      </c>
      <c r="B136" s="10">
        <f>IF(INDEX(rngYear,A136+1)&lt;&gt;0,INDEX(rngYear,A136+1),"")</f>
        <v>1984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 t="shared" si="8"/>
        <v>0</v>
      </c>
      <c r="G136" s="11">
        <f>IFERROR(INDEX(rngData,MATCH($B136,rngYear,0),MATCH(OFFSET(G136,-$A136,0),rngColumnNames,0)),"")</f>
        <v>0</v>
      </c>
      <c r="H136" s="11">
        <f>IFERROR(INDEX(rngData,MATCH($B136,rngYear,0),MATCH(OFFSET(H136,-$A136,0),rngColumnNames,0)),"")</f>
        <v>0</v>
      </c>
      <c r="I136" s="11">
        <f>IFERROR(INDEX(rngData,MATCH($B136,rngYear,0),MATCH(OFFSET(I136,-$A136,0),rngColumnNames,0)),"")</f>
        <v>0</v>
      </c>
      <c r="J136" s="11">
        <f t="shared" si="9"/>
        <v>0</v>
      </c>
      <c r="K136" s="15">
        <f>IFERROR(INDEX(rngData,MATCH($B136,rngYear,0),MATCH(OFFSET(K136,-$A136,0),rngColumnNames,0)),"")</f>
        <v>0</v>
      </c>
      <c r="L136" s="15">
        <f>IFERROR(INDEX(rngData,MATCH($B136,rngYear,0),MATCH(OFFSET(L136,-$A136,0),rngColumnNames,0)),"")</f>
        <v>0</v>
      </c>
      <c r="M136" s="15">
        <f>IFERROR(INDEX(rngData,MATCH($B136,rngYear,0),MATCH(OFFSET(M136,-$A136,0),rngColumnNames,0)),"")</f>
        <v>0</v>
      </c>
      <c r="N136" s="15">
        <f t="shared" si="10"/>
        <v>0</v>
      </c>
    </row>
    <row r="137">
      <c r="A137" s="9">
        <f t="shared" si="11"/>
        <v>6</v>
      </c>
      <c r="B137" s="10">
        <f>IF(INDEX(rngYear,A137+1)&lt;&gt;0,INDEX(rngYear,A137+1),"")</f>
        <v>1985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 t="shared" si="8"/>
        <v>0</v>
      </c>
      <c r="G137" s="11">
        <f>IFERROR(INDEX(rngData,MATCH($B137,rngYear,0),MATCH(OFFSET(G137,-$A137,0),rngColumnNames,0)),"")</f>
        <v>0</v>
      </c>
      <c r="H137" s="11">
        <f>IFERROR(INDEX(rngData,MATCH($B137,rngYear,0),MATCH(OFFSET(H137,-$A137,0),rngColumnNames,0)),"")</f>
        <v>0</v>
      </c>
      <c r="I137" s="11">
        <f>IFERROR(INDEX(rngData,MATCH($B137,rngYear,0),MATCH(OFFSET(I137,-$A137,0),rngColumnNames,0)),"")</f>
        <v>0</v>
      </c>
      <c r="J137" s="11">
        <f t="shared" si="9"/>
        <v>0</v>
      </c>
      <c r="K137" s="15">
        <f>IFERROR(INDEX(rngData,MATCH($B137,rngYear,0),MATCH(OFFSET(K137,-$A137,0),rngColumnNames,0)),"")</f>
        <v>0</v>
      </c>
      <c r="L137" s="15">
        <f>IFERROR(INDEX(rngData,MATCH($B137,rngYear,0),MATCH(OFFSET(L137,-$A137,0),rngColumnNames,0)),"")</f>
        <v>0</v>
      </c>
      <c r="M137" s="15">
        <f>IFERROR(INDEX(rngData,MATCH($B137,rngYear,0),MATCH(OFFSET(M137,-$A137,0),rngColumnNames,0)),"")</f>
        <v>0</v>
      </c>
      <c r="N137" s="15">
        <f t="shared" si="10"/>
        <v>0</v>
      </c>
    </row>
    <row r="138">
      <c r="A138" s="9">
        <f t="shared" si="11"/>
        <v>7</v>
      </c>
      <c r="B138" s="10">
        <f>IF(INDEX(rngYear,A138+1)&lt;&gt;0,INDEX(rngYear,A138+1),"")</f>
        <v>1986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 t="shared" si="8"/>
        <v>0</v>
      </c>
      <c r="G138" s="11">
        <f>IFERROR(INDEX(rngData,MATCH($B138,rngYear,0),MATCH(OFFSET(G138,-$A138,0),rngColumnNames,0)),"")</f>
        <v>0</v>
      </c>
      <c r="H138" s="11">
        <f>IFERROR(INDEX(rngData,MATCH($B138,rngYear,0),MATCH(OFFSET(H138,-$A138,0),rngColumnNames,0)),"")</f>
        <v>0</v>
      </c>
      <c r="I138" s="11">
        <f>IFERROR(INDEX(rngData,MATCH($B138,rngYear,0),MATCH(OFFSET(I138,-$A138,0),rngColumnNames,0)),"")</f>
        <v>0</v>
      </c>
      <c r="J138" s="11">
        <f t="shared" si="9"/>
        <v>0</v>
      </c>
      <c r="K138" s="15">
        <f>IFERROR(INDEX(rngData,MATCH($B138,rngYear,0),MATCH(OFFSET(K138,-$A138,0),rngColumnNames,0)),"")</f>
        <v>0</v>
      </c>
      <c r="L138" s="15">
        <f>IFERROR(INDEX(rngData,MATCH($B138,rngYear,0),MATCH(OFFSET(L138,-$A138,0),rngColumnNames,0)),"")</f>
        <v>0</v>
      </c>
      <c r="M138" s="15">
        <f>IFERROR(INDEX(rngData,MATCH($B138,rngYear,0),MATCH(OFFSET(M138,-$A138,0),rngColumnNames,0)),"")</f>
        <v>0</v>
      </c>
      <c r="N138" s="15">
        <f t="shared" si="10"/>
        <v>0</v>
      </c>
    </row>
    <row r="139">
      <c r="A139" s="9">
        <f t="shared" si="11"/>
        <v>8</v>
      </c>
      <c r="B139" s="10">
        <f>IF(INDEX(rngYear,A139+1)&lt;&gt;0,INDEX(rngYear,A139+1),"")</f>
        <v>1987</v>
      </c>
      <c r="C139" s="11">
        <f>IFERROR(INDEX(rngData,MATCH($B139,rngYear,0),MATCH(OFFSET(C139,-$A139,0),rngColumnNames,0)),"")</f>
        <v>0</v>
      </c>
      <c r="D139" s="11">
        <f>IFERROR(INDEX(rngData,MATCH($B139,rngYear,0),MATCH(OFFSET(D139,-$A139,0),rngColumnNames,0)),"")</f>
        <v>0</v>
      </c>
      <c r="E139" s="11">
        <f>IFERROR(INDEX(rngData,MATCH($B139,rngYear,0),MATCH(OFFSET(E139,-$A139,0),rngColumnNames,0)),"")</f>
        <v>0</v>
      </c>
      <c r="F139" s="11">
        <f t="shared" si="8"/>
        <v>0</v>
      </c>
      <c r="G139" s="11">
        <f>IFERROR(INDEX(rngData,MATCH($B139,rngYear,0),MATCH(OFFSET(G139,-$A139,0),rngColumnNames,0)),"")</f>
        <v>0</v>
      </c>
      <c r="H139" s="11">
        <f>IFERROR(INDEX(rngData,MATCH($B139,rngYear,0),MATCH(OFFSET(H139,-$A139,0),rngColumnNames,0)),"")</f>
        <v>0</v>
      </c>
      <c r="I139" s="11">
        <f>IFERROR(INDEX(rngData,MATCH($B139,rngYear,0),MATCH(OFFSET(I139,-$A139,0),rngColumnNames,0)),"")</f>
        <v>0</v>
      </c>
      <c r="J139" s="11">
        <f t="shared" si="9"/>
        <v>0</v>
      </c>
      <c r="K139" s="15">
        <f>IFERROR(INDEX(rngData,MATCH($B139,rngYear,0),MATCH(OFFSET(K139,-$A139,0),rngColumnNames,0)),"")</f>
        <v>0</v>
      </c>
      <c r="L139" s="15">
        <f>IFERROR(INDEX(rngData,MATCH($B139,rngYear,0),MATCH(OFFSET(L139,-$A139,0),rngColumnNames,0)),"")</f>
        <v>0</v>
      </c>
      <c r="M139" s="15">
        <f>IFERROR(INDEX(rngData,MATCH($B139,rngYear,0),MATCH(OFFSET(M139,-$A139,0),rngColumnNames,0)),"")</f>
        <v>0</v>
      </c>
      <c r="N139" s="15">
        <f t="shared" si="10"/>
        <v>0</v>
      </c>
    </row>
    <row r="140">
      <c r="A140" s="9">
        <f t="shared" si="11"/>
        <v>9</v>
      </c>
      <c r="B140" s="10">
        <f>IF(INDEX(rngYear,A140+1)&lt;&gt;0,INDEX(rngYear,A140+1),"")</f>
        <v>1988</v>
      </c>
      <c r="C140" s="11">
        <f>IFERROR(INDEX(rngData,MATCH($B140,rngYear,0),MATCH(OFFSET(C140,-$A140,0),rngColumnNames,0)),"")</f>
        <v>0</v>
      </c>
      <c r="D140" s="11">
        <f>IFERROR(INDEX(rngData,MATCH($B140,rngYear,0),MATCH(OFFSET(D140,-$A140,0),rngColumnNames,0)),"")</f>
        <v>0</v>
      </c>
      <c r="E140" s="11">
        <f>IFERROR(INDEX(rngData,MATCH($B140,rngYear,0),MATCH(OFFSET(E140,-$A140,0),rngColumnNames,0)),"")</f>
        <v>0</v>
      </c>
      <c r="F140" s="11">
        <f t="shared" si="8"/>
        <v>0</v>
      </c>
      <c r="G140" s="11">
        <f>IFERROR(INDEX(rngData,MATCH($B140,rngYear,0),MATCH(OFFSET(G140,-$A140,0),rngColumnNames,0)),"")</f>
        <v>0</v>
      </c>
      <c r="H140" s="11">
        <f>IFERROR(INDEX(rngData,MATCH($B140,rngYear,0),MATCH(OFFSET(H140,-$A140,0),rngColumnNames,0)),"")</f>
        <v>0</v>
      </c>
      <c r="I140" s="11">
        <f>IFERROR(INDEX(rngData,MATCH($B140,rngYear,0),MATCH(OFFSET(I140,-$A140,0),rngColumnNames,0)),"")</f>
        <v>0</v>
      </c>
      <c r="J140" s="11">
        <f t="shared" si="9"/>
        <v>0</v>
      </c>
      <c r="K140" s="15">
        <f>IFERROR(INDEX(rngData,MATCH($B140,rngYear,0),MATCH(OFFSET(K140,-$A140,0),rngColumnNames,0)),"")</f>
        <v>0</v>
      </c>
      <c r="L140" s="15">
        <f>IFERROR(INDEX(rngData,MATCH($B140,rngYear,0),MATCH(OFFSET(L140,-$A140,0),rngColumnNames,0)),"")</f>
        <v>0</v>
      </c>
      <c r="M140" s="15">
        <f>IFERROR(INDEX(rngData,MATCH($B140,rngYear,0),MATCH(OFFSET(M140,-$A140,0),rngColumnNames,0)),"")</f>
        <v>0</v>
      </c>
      <c r="N140" s="15">
        <f t="shared" si="10"/>
        <v>0</v>
      </c>
    </row>
    <row r="141">
      <c r="A141" s="9">
        <f t="shared" si="11"/>
        <v>10</v>
      </c>
      <c r="B141" s="10">
        <f>IF(INDEX(rngYear,A141+1)&lt;&gt;0,INDEX(rngYear,A141+1),"")</f>
        <v>1989</v>
      </c>
      <c r="C141" s="11">
        <f>IFERROR(INDEX(rngData,MATCH($B141,rngYear,0),MATCH(OFFSET(C141,-$A141,0),rngColumnNames,0)),"")</f>
        <v>0</v>
      </c>
      <c r="D141" s="11">
        <f>IFERROR(INDEX(rngData,MATCH($B141,rngYear,0),MATCH(OFFSET(D141,-$A141,0),rngColumnNames,0)),"")</f>
        <v>0</v>
      </c>
      <c r="E141" s="11">
        <f>IFERROR(INDEX(rngData,MATCH($B141,rngYear,0),MATCH(OFFSET(E141,-$A141,0),rngColumnNames,0)),"")</f>
        <v>0</v>
      </c>
      <c r="F141" s="11">
        <f t="shared" si="8"/>
        <v>0</v>
      </c>
      <c r="G141" s="11">
        <f>IFERROR(INDEX(rngData,MATCH($B141,rngYear,0),MATCH(OFFSET(G141,-$A141,0),rngColumnNames,0)),"")</f>
        <v>0</v>
      </c>
      <c r="H141" s="11">
        <f>IFERROR(INDEX(rngData,MATCH($B141,rngYear,0),MATCH(OFFSET(H141,-$A141,0),rngColumnNames,0)),"")</f>
        <v>0</v>
      </c>
      <c r="I141" s="11">
        <f>IFERROR(INDEX(rngData,MATCH($B141,rngYear,0),MATCH(OFFSET(I141,-$A141,0),rngColumnNames,0)),"")</f>
        <v>0</v>
      </c>
      <c r="J141" s="11">
        <f t="shared" si="9"/>
        <v>0</v>
      </c>
      <c r="K141" s="15">
        <f>IFERROR(INDEX(rngData,MATCH($B141,rngYear,0),MATCH(OFFSET(K141,-$A141,0),rngColumnNames,0)),"")</f>
        <v>0</v>
      </c>
      <c r="L141" s="15">
        <f>IFERROR(INDEX(rngData,MATCH($B141,rngYear,0),MATCH(OFFSET(L141,-$A141,0),rngColumnNames,0)),"")</f>
        <v>0</v>
      </c>
      <c r="M141" s="15">
        <f>IFERROR(INDEX(rngData,MATCH($B141,rngYear,0),MATCH(OFFSET(M141,-$A141,0),rngColumnNames,0)),"")</f>
        <v>0</v>
      </c>
      <c r="N141" s="15">
        <f t="shared" si="10"/>
        <v>0</v>
      </c>
    </row>
    <row r="142">
      <c r="A142" s="9">
        <f t="shared" si="11"/>
        <v>11</v>
      </c>
      <c r="B142" s="10">
        <f>IF(INDEX(rngYear,A142+1)&lt;&gt;0,INDEX(rngYear,A142+1),"")</f>
        <v>1990</v>
      </c>
      <c r="C142" s="11">
        <f>IFERROR(INDEX(rngData,MATCH($B142,rngYear,0),MATCH(OFFSET(C142,-$A142,0),rngColumnNames,0)),"")</f>
        <v>0</v>
      </c>
      <c r="D142" s="11">
        <f>IFERROR(INDEX(rngData,MATCH($B142,rngYear,0),MATCH(OFFSET(D142,-$A142,0),rngColumnNames,0)),"")</f>
        <v>0</v>
      </c>
      <c r="E142" s="11">
        <f>IFERROR(INDEX(rngData,MATCH($B142,rngYear,0),MATCH(OFFSET(E142,-$A142,0),rngColumnNames,0)),"")</f>
        <v>0</v>
      </c>
      <c r="F142" s="11">
        <f t="shared" si="8"/>
        <v>0</v>
      </c>
      <c r="G142" s="11">
        <f>IFERROR(INDEX(rngData,MATCH($B142,rngYear,0),MATCH(OFFSET(G142,-$A142,0),rngColumnNames,0)),"")</f>
        <v>0</v>
      </c>
      <c r="H142" s="11">
        <f>IFERROR(INDEX(rngData,MATCH($B142,rngYear,0),MATCH(OFFSET(H142,-$A142,0),rngColumnNames,0)),"")</f>
        <v>0</v>
      </c>
      <c r="I142" s="11">
        <f>IFERROR(INDEX(rngData,MATCH($B142,rngYear,0),MATCH(OFFSET(I142,-$A142,0),rngColumnNames,0)),"")</f>
        <v>0</v>
      </c>
      <c r="J142" s="11">
        <f t="shared" si="9"/>
        <v>0</v>
      </c>
      <c r="K142" s="15">
        <f>IFERROR(INDEX(rngData,MATCH($B142,rngYear,0),MATCH(OFFSET(K142,-$A142,0),rngColumnNames,0)),"")</f>
        <v>0</v>
      </c>
      <c r="L142" s="15">
        <f>IFERROR(INDEX(rngData,MATCH($B142,rngYear,0),MATCH(OFFSET(L142,-$A142,0),rngColumnNames,0)),"")</f>
        <v>0</v>
      </c>
      <c r="M142" s="15">
        <f>IFERROR(INDEX(rngData,MATCH($B142,rngYear,0),MATCH(OFFSET(M142,-$A142,0),rngColumnNames,0)),"")</f>
        <v>0</v>
      </c>
      <c r="N142" s="15">
        <f t="shared" si="10"/>
        <v>0</v>
      </c>
    </row>
    <row r="143">
      <c r="A143" s="9">
        <f t="shared" si="11"/>
        <v>12</v>
      </c>
      <c r="B143" s="10">
        <f>IF(INDEX(rngYear,A143+1)&lt;&gt;0,INDEX(rngYear,A143+1),"")</f>
        <v>1991</v>
      </c>
      <c r="C143" s="11">
        <f>IFERROR(INDEX(rngData,MATCH($B143,rngYear,0),MATCH(OFFSET(C143,-$A143,0),rngColumnNames,0)),"")</f>
        <v>0</v>
      </c>
      <c r="D143" s="11">
        <f>IFERROR(INDEX(rngData,MATCH($B143,rngYear,0),MATCH(OFFSET(D143,-$A143,0),rngColumnNames,0)),"")</f>
        <v>0</v>
      </c>
      <c r="E143" s="11">
        <f>IFERROR(INDEX(rngData,MATCH($B143,rngYear,0),MATCH(OFFSET(E143,-$A143,0),rngColumnNames,0)),"")</f>
        <v>0</v>
      </c>
      <c r="F143" s="11">
        <f t="shared" si="8"/>
        <v>0</v>
      </c>
      <c r="G143" s="11">
        <f>IFERROR(INDEX(rngData,MATCH($B143,rngYear,0),MATCH(OFFSET(G143,-$A143,0),rngColumnNames,0)),"")</f>
        <v>0</v>
      </c>
      <c r="H143" s="11">
        <f>IFERROR(INDEX(rngData,MATCH($B143,rngYear,0),MATCH(OFFSET(H143,-$A143,0),rngColumnNames,0)),"")</f>
        <v>0</v>
      </c>
      <c r="I143" s="11">
        <f>IFERROR(INDEX(rngData,MATCH($B143,rngYear,0),MATCH(OFFSET(I143,-$A143,0),rngColumnNames,0)),"")</f>
        <v>0</v>
      </c>
      <c r="J143" s="11">
        <f t="shared" si="9"/>
        <v>0</v>
      </c>
      <c r="K143" s="15">
        <f>IFERROR(INDEX(rngData,MATCH($B143,rngYear,0),MATCH(OFFSET(K143,-$A143,0),rngColumnNames,0)),"")</f>
        <v>0</v>
      </c>
      <c r="L143" s="15">
        <f>IFERROR(INDEX(rngData,MATCH($B143,rngYear,0),MATCH(OFFSET(L143,-$A143,0),rngColumnNames,0)),"")</f>
        <v>0</v>
      </c>
      <c r="M143" s="15">
        <f>IFERROR(INDEX(rngData,MATCH($B143,rngYear,0),MATCH(OFFSET(M143,-$A143,0),rngColumnNames,0)),"")</f>
        <v>0</v>
      </c>
      <c r="N143" s="15">
        <f t="shared" si="10"/>
        <v>0</v>
      </c>
    </row>
    <row r="144">
      <c r="A144" s="9">
        <f t="shared" si="11"/>
        <v>13</v>
      </c>
      <c r="B144" s="10">
        <f>IF(INDEX(rngYear,A144+1)&lt;&gt;0,INDEX(rngYear,A144+1),"")</f>
        <v>1992</v>
      </c>
      <c r="C144" s="11">
        <f>IFERROR(INDEX(rngData,MATCH($B144,rngYear,0),MATCH(OFFSET(C144,-$A144,0),rngColumnNames,0)),"")</f>
        <v>0</v>
      </c>
      <c r="D144" s="11">
        <f>IFERROR(INDEX(rngData,MATCH($B144,rngYear,0),MATCH(OFFSET(D144,-$A144,0),rngColumnNames,0)),"")</f>
        <v>0</v>
      </c>
      <c r="E144" s="11">
        <f>IFERROR(INDEX(rngData,MATCH($B144,rngYear,0),MATCH(OFFSET(E144,-$A144,0),rngColumnNames,0)),"")</f>
        <v>0</v>
      </c>
      <c r="F144" s="11">
        <f t="shared" si="8"/>
        <v>0</v>
      </c>
      <c r="G144" s="11">
        <f>IFERROR(INDEX(rngData,MATCH($B144,rngYear,0),MATCH(OFFSET(G144,-$A144,0),rngColumnNames,0)),"")</f>
        <v>0</v>
      </c>
      <c r="H144" s="11">
        <f>IFERROR(INDEX(rngData,MATCH($B144,rngYear,0),MATCH(OFFSET(H144,-$A144,0),rngColumnNames,0)),"")</f>
        <v>0</v>
      </c>
      <c r="I144" s="11">
        <f>IFERROR(INDEX(rngData,MATCH($B144,rngYear,0),MATCH(OFFSET(I144,-$A144,0),rngColumnNames,0)),"")</f>
        <v>0</v>
      </c>
      <c r="J144" s="11">
        <f t="shared" si="9"/>
        <v>0</v>
      </c>
      <c r="K144" s="15">
        <f>IFERROR(INDEX(rngData,MATCH($B144,rngYear,0),MATCH(OFFSET(K144,-$A144,0),rngColumnNames,0)),"")</f>
        <v>0</v>
      </c>
      <c r="L144" s="15">
        <f>IFERROR(INDEX(rngData,MATCH($B144,rngYear,0),MATCH(OFFSET(L144,-$A144,0),rngColumnNames,0)),"")</f>
        <v>0</v>
      </c>
      <c r="M144" s="15">
        <f>IFERROR(INDEX(rngData,MATCH($B144,rngYear,0),MATCH(OFFSET(M144,-$A144,0),rngColumnNames,0)),"")</f>
        <v>0</v>
      </c>
      <c r="N144" s="15">
        <f t="shared" si="10"/>
        <v>0</v>
      </c>
    </row>
    <row r="145">
      <c r="A145" s="9">
        <f t="shared" si="11"/>
        <v>14</v>
      </c>
      <c r="B145" s="10">
        <f>IF(INDEX(rngYear,A145+1)&lt;&gt;0,INDEX(rngYear,A145+1),"")</f>
        <v>1993</v>
      </c>
      <c r="C145" s="11">
        <f>IFERROR(INDEX(rngData,MATCH($B145,rngYear,0),MATCH(OFFSET(C145,-$A145,0),rngColumnNames,0)),"")</f>
        <v>0</v>
      </c>
      <c r="D145" s="11">
        <f>IFERROR(INDEX(rngData,MATCH($B145,rngYear,0),MATCH(OFFSET(D145,-$A145,0),rngColumnNames,0)),"")</f>
        <v>0</v>
      </c>
      <c r="E145" s="11">
        <f>IFERROR(INDEX(rngData,MATCH($B145,rngYear,0),MATCH(OFFSET(E145,-$A145,0),rngColumnNames,0)),"")</f>
        <v>0</v>
      </c>
      <c r="F145" s="11">
        <f t="shared" si="8"/>
        <v>0</v>
      </c>
      <c r="G145" s="11">
        <f>IFERROR(INDEX(rngData,MATCH($B145,rngYear,0),MATCH(OFFSET(G145,-$A145,0),rngColumnNames,0)),"")</f>
        <v>0</v>
      </c>
      <c r="H145" s="11">
        <f>IFERROR(INDEX(rngData,MATCH($B145,rngYear,0),MATCH(OFFSET(H145,-$A145,0),rngColumnNames,0)),"")</f>
        <v>0</v>
      </c>
      <c r="I145" s="11">
        <f>IFERROR(INDEX(rngData,MATCH($B145,rngYear,0),MATCH(OFFSET(I145,-$A145,0),rngColumnNames,0)),"")</f>
        <v>0</v>
      </c>
      <c r="J145" s="11">
        <f t="shared" si="9"/>
        <v>0</v>
      </c>
      <c r="K145" s="15">
        <f>IFERROR(INDEX(rngData,MATCH($B145,rngYear,0),MATCH(OFFSET(K145,-$A145,0),rngColumnNames,0)),"")</f>
        <v>0</v>
      </c>
      <c r="L145" s="15">
        <f>IFERROR(INDEX(rngData,MATCH($B145,rngYear,0),MATCH(OFFSET(L145,-$A145,0),rngColumnNames,0)),"")</f>
        <v>0</v>
      </c>
      <c r="M145" s="15">
        <f>IFERROR(INDEX(rngData,MATCH($B145,rngYear,0),MATCH(OFFSET(M145,-$A145,0),rngColumnNames,0)),"")</f>
        <v>0</v>
      </c>
      <c r="N145" s="15">
        <f t="shared" si="10"/>
        <v>0</v>
      </c>
    </row>
    <row r="146">
      <c r="A146" s="9">
        <f t="shared" si="11"/>
        <v>15</v>
      </c>
      <c r="B146" s="10">
        <f>IF(INDEX(rngYear,A146+1)&lt;&gt;0,INDEX(rngYear,A146+1),"")</f>
        <v>1994</v>
      </c>
      <c r="C146" s="11">
        <f>IFERROR(INDEX(rngData,MATCH($B146,rngYear,0),MATCH(OFFSET(C146,-$A146,0),rngColumnNames,0)),"")</f>
        <v>0</v>
      </c>
      <c r="D146" s="11">
        <f>IFERROR(INDEX(rngData,MATCH($B146,rngYear,0),MATCH(OFFSET(D146,-$A146,0),rngColumnNames,0)),"")</f>
        <v>0</v>
      </c>
      <c r="E146" s="11">
        <f>IFERROR(INDEX(rngData,MATCH($B146,rngYear,0),MATCH(OFFSET(E146,-$A146,0),rngColumnNames,0)),"")</f>
        <v>0</v>
      </c>
      <c r="F146" s="11">
        <f t="shared" si="8"/>
        <v>0</v>
      </c>
      <c r="G146" s="11">
        <f>IFERROR(INDEX(rngData,MATCH($B146,rngYear,0),MATCH(OFFSET(G146,-$A146,0),rngColumnNames,0)),"")</f>
        <v>0</v>
      </c>
      <c r="H146" s="11">
        <f>IFERROR(INDEX(rngData,MATCH($B146,rngYear,0),MATCH(OFFSET(H146,-$A146,0),rngColumnNames,0)),"")</f>
        <v>0</v>
      </c>
      <c r="I146" s="11">
        <f>IFERROR(INDEX(rngData,MATCH($B146,rngYear,0),MATCH(OFFSET(I146,-$A146,0),rngColumnNames,0)),"")</f>
        <v>0</v>
      </c>
      <c r="J146" s="11">
        <f t="shared" si="9"/>
        <v>0</v>
      </c>
      <c r="K146" s="15">
        <f>IFERROR(INDEX(rngData,MATCH($B146,rngYear,0),MATCH(OFFSET(K146,-$A146,0),rngColumnNames,0)),"")</f>
        <v>0</v>
      </c>
      <c r="L146" s="15">
        <f>IFERROR(INDEX(rngData,MATCH($B146,rngYear,0),MATCH(OFFSET(L146,-$A146,0),rngColumnNames,0)),"")</f>
        <v>0</v>
      </c>
      <c r="M146" s="15">
        <f>IFERROR(INDEX(rngData,MATCH($B146,rngYear,0),MATCH(OFFSET(M146,-$A146,0),rngColumnNames,0)),"")</f>
        <v>0</v>
      </c>
      <c r="N146" s="15">
        <f t="shared" si="10"/>
        <v>0</v>
      </c>
    </row>
    <row r="147">
      <c r="A147" s="9">
        <f t="shared" si="11"/>
        <v>16</v>
      </c>
      <c r="B147" s="10">
        <f>IF(INDEX(rngYear,A147+1)&lt;&gt;0,INDEX(rngYear,A147+1),"")</f>
        <v>1995</v>
      </c>
      <c r="C147" s="11">
        <f>IFERROR(INDEX(rngData,MATCH($B147,rngYear,0),MATCH(OFFSET(C147,-$A147,0),rngColumnNames,0)),"")</f>
        <v>0</v>
      </c>
      <c r="D147" s="11">
        <f>IFERROR(INDEX(rngData,MATCH($B147,rngYear,0),MATCH(OFFSET(D147,-$A147,0),rngColumnNames,0)),"")</f>
        <v>0</v>
      </c>
      <c r="E147" s="11">
        <f>IFERROR(INDEX(rngData,MATCH($B147,rngYear,0),MATCH(OFFSET(E147,-$A147,0),rngColumnNames,0)),"")</f>
        <v>0</v>
      </c>
      <c r="F147" s="11">
        <f t="shared" si="8"/>
        <v>0</v>
      </c>
      <c r="G147" s="11">
        <f>IFERROR(INDEX(rngData,MATCH($B147,rngYear,0),MATCH(OFFSET(G147,-$A147,0),rngColumnNames,0)),"")</f>
        <v>0</v>
      </c>
      <c r="H147" s="11">
        <f>IFERROR(INDEX(rngData,MATCH($B147,rngYear,0),MATCH(OFFSET(H147,-$A147,0),rngColumnNames,0)),"")</f>
        <v>0</v>
      </c>
      <c r="I147" s="11">
        <f>IFERROR(INDEX(rngData,MATCH($B147,rngYear,0),MATCH(OFFSET(I147,-$A147,0),rngColumnNames,0)),"")</f>
        <v>0</v>
      </c>
      <c r="J147" s="11">
        <f t="shared" si="9"/>
        <v>0</v>
      </c>
      <c r="K147" s="15">
        <f>IFERROR(INDEX(rngData,MATCH($B147,rngYear,0),MATCH(OFFSET(K147,-$A147,0),rngColumnNames,0)),"")</f>
        <v>0</v>
      </c>
      <c r="L147" s="15">
        <f>IFERROR(INDEX(rngData,MATCH($B147,rngYear,0),MATCH(OFFSET(L147,-$A147,0),rngColumnNames,0)),"")</f>
        <v>0</v>
      </c>
      <c r="M147" s="15">
        <f>IFERROR(INDEX(rngData,MATCH($B147,rngYear,0),MATCH(OFFSET(M147,-$A147,0),rngColumnNames,0)),"")</f>
        <v>0</v>
      </c>
      <c r="N147" s="15">
        <f t="shared" si="10"/>
        <v>0</v>
      </c>
    </row>
    <row r="148">
      <c r="A148" s="9">
        <f t="shared" si="11"/>
        <v>17</v>
      </c>
      <c r="B148" s="10">
        <f>IF(INDEX(rngYear,A148+1)&lt;&gt;0,INDEX(rngYear,A148+1),"")</f>
        <v>1996</v>
      </c>
      <c r="C148" s="11">
        <f>IFERROR(INDEX(rngData,MATCH($B148,rngYear,0),MATCH(OFFSET(C148,-$A148,0),rngColumnNames,0)),"")</f>
        <v>0</v>
      </c>
      <c r="D148" s="11">
        <f>IFERROR(INDEX(rngData,MATCH($B148,rngYear,0),MATCH(OFFSET(D148,-$A148,0),rngColumnNames,0)),"")</f>
        <v>0</v>
      </c>
      <c r="E148" s="11">
        <f>IFERROR(INDEX(rngData,MATCH($B148,rngYear,0),MATCH(OFFSET(E148,-$A148,0),rngColumnNames,0)),"")</f>
        <v>0</v>
      </c>
      <c r="F148" s="11">
        <f t="shared" si="8"/>
        <v>0</v>
      </c>
      <c r="G148" s="11">
        <f>IFERROR(INDEX(rngData,MATCH($B148,rngYear,0),MATCH(OFFSET(G148,-$A148,0),rngColumnNames,0)),"")</f>
        <v>0</v>
      </c>
      <c r="H148" s="11">
        <f>IFERROR(INDEX(rngData,MATCH($B148,rngYear,0),MATCH(OFFSET(H148,-$A148,0),rngColumnNames,0)),"")</f>
        <v>0</v>
      </c>
      <c r="I148" s="11">
        <f>IFERROR(INDEX(rngData,MATCH($B148,rngYear,0),MATCH(OFFSET(I148,-$A148,0),rngColumnNames,0)),"")</f>
        <v>0</v>
      </c>
      <c r="J148" s="11">
        <f t="shared" si="9"/>
        <v>0</v>
      </c>
      <c r="K148" s="15">
        <f>IFERROR(INDEX(rngData,MATCH($B148,rngYear,0),MATCH(OFFSET(K148,-$A148,0),rngColumnNames,0)),"")</f>
        <v>0</v>
      </c>
      <c r="L148" s="15">
        <f>IFERROR(INDEX(rngData,MATCH($B148,rngYear,0),MATCH(OFFSET(L148,-$A148,0),rngColumnNames,0)),"")</f>
        <v>0</v>
      </c>
      <c r="M148" s="15">
        <f>IFERROR(INDEX(rngData,MATCH($B148,rngYear,0),MATCH(OFFSET(M148,-$A148,0),rngColumnNames,0)),"")</f>
        <v>0</v>
      </c>
      <c r="N148" s="15">
        <f t="shared" si="10"/>
        <v>0</v>
      </c>
    </row>
    <row r="149">
      <c r="A149" s="9">
        <f t="shared" si="11"/>
        <v>18</v>
      </c>
      <c r="B149" s="10">
        <f>IF(INDEX(rngYear,A149+1)&lt;&gt;0,INDEX(rngYear,A149+1),"")</f>
        <v>1997</v>
      </c>
      <c r="C149" s="11">
        <f>IFERROR(INDEX(rngData,MATCH($B149,rngYear,0),MATCH(OFFSET(C149,-$A149,0),rngColumnNames,0)),"")</f>
        <v>0</v>
      </c>
      <c r="D149" s="11">
        <f>IFERROR(INDEX(rngData,MATCH($B149,rngYear,0),MATCH(OFFSET(D149,-$A149,0),rngColumnNames,0)),"")</f>
        <v>0</v>
      </c>
      <c r="E149" s="11">
        <f>IFERROR(INDEX(rngData,MATCH($B149,rngYear,0),MATCH(OFFSET(E149,-$A149,0),rngColumnNames,0)),"")</f>
        <v>0</v>
      </c>
      <c r="F149" s="11">
        <f t="shared" si="8"/>
        <v>0</v>
      </c>
      <c r="G149" s="11">
        <f>IFERROR(INDEX(rngData,MATCH($B149,rngYear,0),MATCH(OFFSET(G149,-$A149,0),rngColumnNames,0)),"")</f>
        <v>0</v>
      </c>
      <c r="H149" s="11">
        <f>IFERROR(INDEX(rngData,MATCH($B149,rngYear,0),MATCH(OFFSET(H149,-$A149,0),rngColumnNames,0)),"")</f>
        <v>0</v>
      </c>
      <c r="I149" s="11">
        <f>IFERROR(INDEX(rngData,MATCH($B149,rngYear,0),MATCH(OFFSET(I149,-$A149,0),rngColumnNames,0)),"")</f>
        <v>0</v>
      </c>
      <c r="J149" s="11">
        <f t="shared" si="9"/>
        <v>0</v>
      </c>
      <c r="K149" s="15">
        <f>IFERROR(INDEX(rngData,MATCH($B149,rngYear,0),MATCH(OFFSET(K149,-$A149,0),rngColumnNames,0)),"")</f>
        <v>0</v>
      </c>
      <c r="L149" s="15">
        <f>IFERROR(INDEX(rngData,MATCH($B149,rngYear,0),MATCH(OFFSET(L149,-$A149,0),rngColumnNames,0)),"")</f>
        <v>0</v>
      </c>
      <c r="M149" s="15">
        <f>IFERROR(INDEX(rngData,MATCH($B149,rngYear,0),MATCH(OFFSET(M149,-$A149,0),rngColumnNames,0)),"")</f>
        <v>0</v>
      </c>
      <c r="N149" s="15">
        <f t="shared" si="10"/>
        <v>0</v>
      </c>
    </row>
    <row r="150">
      <c r="A150" s="9">
        <f t="shared" si="11"/>
        <v>19</v>
      </c>
      <c r="B150" s="10">
        <f>IF(INDEX(rngYear,A150+1)&lt;&gt;0,INDEX(rngYear,A150+1),"")</f>
        <v>1998</v>
      </c>
      <c r="C150" s="11">
        <f>IFERROR(INDEX(rngData,MATCH($B150,rngYear,0),MATCH(OFFSET(C150,-$A150,0),rngColumnNames,0)),"")</f>
        <v>0</v>
      </c>
      <c r="D150" s="11">
        <f>IFERROR(INDEX(rngData,MATCH($B150,rngYear,0),MATCH(OFFSET(D150,-$A150,0),rngColumnNames,0)),"")</f>
        <v>0</v>
      </c>
      <c r="E150" s="11">
        <f>IFERROR(INDEX(rngData,MATCH($B150,rngYear,0),MATCH(OFFSET(E150,-$A150,0),rngColumnNames,0)),"")</f>
        <v>0</v>
      </c>
      <c r="F150" s="11">
        <f t="shared" si="8"/>
        <v>0</v>
      </c>
      <c r="G150" s="11">
        <f>IFERROR(INDEX(rngData,MATCH($B150,rngYear,0),MATCH(OFFSET(G150,-$A150,0),rngColumnNames,0)),"")</f>
        <v>0</v>
      </c>
      <c r="H150" s="11">
        <f>IFERROR(INDEX(rngData,MATCH($B150,rngYear,0),MATCH(OFFSET(H150,-$A150,0),rngColumnNames,0)),"")</f>
        <v>0</v>
      </c>
      <c r="I150" s="11">
        <f>IFERROR(INDEX(rngData,MATCH($B150,rngYear,0),MATCH(OFFSET(I150,-$A150,0),rngColumnNames,0)),"")</f>
        <v>0</v>
      </c>
      <c r="J150" s="11">
        <f t="shared" si="9"/>
        <v>0</v>
      </c>
      <c r="K150" s="15">
        <f>IFERROR(INDEX(rngData,MATCH($B150,rngYear,0),MATCH(OFFSET(K150,-$A150,0),rngColumnNames,0)),"")</f>
        <v>0</v>
      </c>
      <c r="L150" s="15">
        <f>IFERROR(INDEX(rngData,MATCH($B150,rngYear,0),MATCH(OFFSET(L150,-$A150,0),rngColumnNames,0)),"")</f>
        <v>0</v>
      </c>
      <c r="M150" s="15">
        <f>IFERROR(INDEX(rngData,MATCH($B150,rngYear,0),MATCH(OFFSET(M150,-$A150,0),rngColumnNames,0)),"")</f>
        <v>0</v>
      </c>
      <c r="N150" s="15">
        <f t="shared" si="10"/>
        <v>0</v>
      </c>
    </row>
    <row r="151">
      <c r="A151" s="9">
        <f t="shared" si="11"/>
        <v>20</v>
      </c>
      <c r="B151" s="10">
        <f>IF(INDEX(rngYear,A151+1)&lt;&gt;0,INDEX(rngYear,A151+1),"")</f>
        <v>1999</v>
      </c>
      <c r="C151" s="11">
        <f>IFERROR(INDEX(rngData,MATCH($B151,rngYear,0),MATCH(OFFSET(C151,-$A151,0),rngColumnNames,0)),"")</f>
        <v>0</v>
      </c>
      <c r="D151" s="11">
        <f>IFERROR(INDEX(rngData,MATCH($B151,rngYear,0),MATCH(OFFSET(D151,-$A151,0),rngColumnNames,0)),"")</f>
        <v>0</v>
      </c>
      <c r="E151" s="11">
        <f>IFERROR(INDEX(rngData,MATCH($B151,rngYear,0),MATCH(OFFSET(E151,-$A151,0),rngColumnNames,0)),"")</f>
        <v>0</v>
      </c>
      <c r="F151" s="11">
        <f t="shared" si="8"/>
        <v>0</v>
      </c>
      <c r="G151" s="11">
        <f>IFERROR(INDEX(rngData,MATCH($B151,rngYear,0),MATCH(OFFSET(G151,-$A151,0),rngColumnNames,0)),"")</f>
        <v>0</v>
      </c>
      <c r="H151" s="11">
        <f>IFERROR(INDEX(rngData,MATCH($B151,rngYear,0),MATCH(OFFSET(H151,-$A151,0),rngColumnNames,0)),"")</f>
        <v>0</v>
      </c>
      <c r="I151" s="11">
        <f>IFERROR(INDEX(rngData,MATCH($B151,rngYear,0),MATCH(OFFSET(I151,-$A151,0),rngColumnNames,0)),"")</f>
        <v>0</v>
      </c>
      <c r="J151" s="11">
        <f t="shared" si="9"/>
        <v>0</v>
      </c>
      <c r="K151" s="15">
        <f>IFERROR(INDEX(rngData,MATCH($B151,rngYear,0),MATCH(OFFSET(K151,-$A151,0),rngColumnNames,0)),"")</f>
        <v>0</v>
      </c>
      <c r="L151" s="15">
        <f>IFERROR(INDEX(rngData,MATCH($B151,rngYear,0),MATCH(OFFSET(L151,-$A151,0),rngColumnNames,0)),"")</f>
        <v>0</v>
      </c>
      <c r="M151" s="15">
        <f>IFERROR(INDEX(rngData,MATCH($B151,rngYear,0),MATCH(OFFSET(M151,-$A151,0),rngColumnNames,0)),"")</f>
        <v>0</v>
      </c>
      <c r="N151" s="15">
        <f t="shared" si="10"/>
        <v>0</v>
      </c>
    </row>
    <row r="152">
      <c r="A152" s="9">
        <f t="shared" si="11"/>
        <v>21</v>
      </c>
      <c r="B152" s="10">
        <f>IF(INDEX(rngYear,A152+1)&lt;&gt;0,INDEX(rngYear,A152+1),"")</f>
        <v>2000</v>
      </c>
      <c r="C152" s="11">
        <f>IFERROR(INDEX(rngData,MATCH($B152,rngYear,0),MATCH(OFFSET(C152,-$A152,0),rngColumnNames,0)),"")</f>
        <v>0</v>
      </c>
      <c r="D152" s="11">
        <f>IFERROR(INDEX(rngData,MATCH($B152,rngYear,0),MATCH(OFFSET(D152,-$A152,0),rngColumnNames,0)),"")</f>
        <v>0</v>
      </c>
      <c r="E152" s="11">
        <f>IFERROR(INDEX(rngData,MATCH($B152,rngYear,0),MATCH(OFFSET(E152,-$A152,0),rngColumnNames,0)),"")</f>
        <v>0</v>
      </c>
      <c r="F152" s="11">
        <f t="shared" si="8"/>
        <v>0</v>
      </c>
      <c r="G152" s="11">
        <f>IFERROR(INDEX(rngData,MATCH($B152,rngYear,0),MATCH(OFFSET(G152,-$A152,0),rngColumnNames,0)),"")</f>
        <v>0</v>
      </c>
      <c r="H152" s="11">
        <f>IFERROR(INDEX(rngData,MATCH($B152,rngYear,0),MATCH(OFFSET(H152,-$A152,0),rngColumnNames,0)),"")</f>
        <v>0</v>
      </c>
      <c r="I152" s="11">
        <f>IFERROR(INDEX(rngData,MATCH($B152,rngYear,0),MATCH(OFFSET(I152,-$A152,0),rngColumnNames,0)),"")</f>
        <v>0</v>
      </c>
      <c r="J152" s="11">
        <f t="shared" si="9"/>
        <v>0</v>
      </c>
      <c r="K152" s="15">
        <f>IFERROR(INDEX(rngData,MATCH($B152,rngYear,0),MATCH(OFFSET(K152,-$A152,0),rngColumnNames,0)),"")</f>
        <v>0</v>
      </c>
      <c r="L152" s="15">
        <f>IFERROR(INDEX(rngData,MATCH($B152,rngYear,0),MATCH(OFFSET(L152,-$A152,0),rngColumnNames,0)),"")</f>
        <v>0</v>
      </c>
      <c r="M152" s="15">
        <f>IFERROR(INDEX(rngData,MATCH($B152,rngYear,0),MATCH(OFFSET(M152,-$A152,0),rngColumnNames,0)),"")</f>
        <v>0</v>
      </c>
      <c r="N152" s="15">
        <f t="shared" si="10"/>
        <v>0</v>
      </c>
    </row>
    <row r="153">
      <c r="A153" s="9">
        <f t="shared" si="11"/>
        <v>22</v>
      </c>
      <c r="B153" s="10">
        <f>IF(INDEX(rngYear,A153+1)&lt;&gt;0,INDEX(rngYear,A153+1),"")</f>
        <v>2001</v>
      </c>
      <c r="C153" s="11">
        <f>IFERROR(INDEX(rngData,MATCH($B153,rngYear,0),MATCH(OFFSET(C153,-$A153,0),rngColumnNames,0)),"")</f>
        <v>0</v>
      </c>
      <c r="D153" s="11">
        <f>IFERROR(INDEX(rngData,MATCH($B153,rngYear,0),MATCH(OFFSET(D153,-$A153,0),rngColumnNames,0)),"")</f>
        <v>0</v>
      </c>
      <c r="E153" s="11">
        <f>IFERROR(INDEX(rngData,MATCH($B153,rngYear,0),MATCH(OFFSET(E153,-$A153,0),rngColumnNames,0)),"")</f>
        <v>0</v>
      </c>
      <c r="F153" s="11">
        <f t="shared" si="8"/>
        <v>0</v>
      </c>
      <c r="G153" s="11">
        <f>IFERROR(INDEX(rngData,MATCH($B153,rngYear,0),MATCH(OFFSET(G153,-$A153,0),rngColumnNames,0)),"")</f>
        <v>0</v>
      </c>
      <c r="H153" s="11">
        <f>IFERROR(INDEX(rngData,MATCH($B153,rngYear,0),MATCH(OFFSET(H153,-$A153,0),rngColumnNames,0)),"")</f>
        <v>0</v>
      </c>
      <c r="I153" s="11">
        <f>IFERROR(INDEX(rngData,MATCH($B153,rngYear,0),MATCH(OFFSET(I153,-$A153,0),rngColumnNames,0)),"")</f>
        <v>0</v>
      </c>
      <c r="J153" s="11">
        <f t="shared" si="9"/>
        <v>0</v>
      </c>
      <c r="K153" s="15">
        <f>IFERROR(INDEX(rngData,MATCH($B153,rngYear,0),MATCH(OFFSET(K153,-$A153,0),rngColumnNames,0)),"")</f>
        <v>0</v>
      </c>
      <c r="L153" s="15">
        <f>IFERROR(INDEX(rngData,MATCH($B153,rngYear,0),MATCH(OFFSET(L153,-$A153,0),rngColumnNames,0)),"")</f>
        <v>0</v>
      </c>
      <c r="M153" s="15">
        <f>IFERROR(INDEX(rngData,MATCH($B153,rngYear,0),MATCH(OFFSET(M153,-$A153,0),rngColumnNames,0)),"")</f>
        <v>0</v>
      </c>
      <c r="N153" s="15">
        <f t="shared" si="10"/>
        <v>0</v>
      </c>
    </row>
    <row r="154">
      <c r="A154" s="9">
        <f t="shared" si="11"/>
        <v>23</v>
      </c>
      <c r="B154" s="10">
        <f>IF(INDEX(rngYear,A154+1)&lt;&gt;0,INDEX(rngYear,A154+1),"")</f>
        <v>2002</v>
      </c>
      <c r="C154" s="11">
        <f>IFERROR(INDEX(rngData,MATCH($B154,rngYear,0),MATCH(OFFSET(C154,-$A154,0),rngColumnNames,0)),"")</f>
        <v>0</v>
      </c>
      <c r="D154" s="11">
        <f>IFERROR(INDEX(rngData,MATCH($B154,rngYear,0),MATCH(OFFSET(D154,-$A154,0),rngColumnNames,0)),"")</f>
        <v>0</v>
      </c>
      <c r="E154" s="11">
        <f>IFERROR(INDEX(rngData,MATCH($B154,rngYear,0),MATCH(OFFSET(E154,-$A154,0),rngColumnNames,0)),"")</f>
        <v>0</v>
      </c>
      <c r="F154" s="11">
        <f t="shared" si="8"/>
        <v>0</v>
      </c>
      <c r="G154" s="11">
        <f>IFERROR(INDEX(rngData,MATCH($B154,rngYear,0),MATCH(OFFSET(G154,-$A154,0),rngColumnNames,0)),"")</f>
        <v>0</v>
      </c>
      <c r="H154" s="11">
        <f>IFERROR(INDEX(rngData,MATCH($B154,rngYear,0),MATCH(OFFSET(H154,-$A154,0),rngColumnNames,0)),"")</f>
        <v>0</v>
      </c>
      <c r="I154" s="11">
        <f>IFERROR(INDEX(rngData,MATCH($B154,rngYear,0),MATCH(OFFSET(I154,-$A154,0),rngColumnNames,0)),"")</f>
        <v>0</v>
      </c>
      <c r="J154" s="11">
        <f t="shared" si="9"/>
        <v>0</v>
      </c>
      <c r="K154" s="15">
        <f>IFERROR(INDEX(rngData,MATCH($B154,rngYear,0),MATCH(OFFSET(K154,-$A154,0),rngColumnNames,0)),"")</f>
        <v>0</v>
      </c>
      <c r="L154" s="15">
        <f>IFERROR(INDEX(rngData,MATCH($B154,rngYear,0),MATCH(OFFSET(L154,-$A154,0),rngColumnNames,0)),"")</f>
        <v>0</v>
      </c>
      <c r="M154" s="15">
        <f>IFERROR(INDEX(rngData,MATCH($B154,rngYear,0),MATCH(OFFSET(M154,-$A154,0),rngColumnNames,0)),"")</f>
        <v>0</v>
      </c>
      <c r="N154" s="15">
        <f t="shared" si="10"/>
        <v>0</v>
      </c>
    </row>
    <row r="155">
      <c r="A155" s="9">
        <f t="shared" si="11"/>
        <v>24</v>
      </c>
      <c r="B155" s="10">
        <f>IF(INDEX(rngYear,A155+1)&lt;&gt;0,INDEX(rngYear,A155+1),"")</f>
        <v>2003</v>
      </c>
      <c r="C155" s="11">
        <f>IFERROR(INDEX(rngData,MATCH($B155,rngYear,0),MATCH(OFFSET(C155,-$A155,0),rngColumnNames,0)),"")</f>
        <v>0</v>
      </c>
      <c r="D155" s="11">
        <f>IFERROR(INDEX(rngData,MATCH($B155,rngYear,0),MATCH(OFFSET(D155,-$A155,0),rngColumnNames,0)),"")</f>
        <v>0</v>
      </c>
      <c r="E155" s="11">
        <f>IFERROR(INDEX(rngData,MATCH($B155,rngYear,0),MATCH(OFFSET(E155,-$A155,0),rngColumnNames,0)),"")</f>
        <v>0</v>
      </c>
      <c r="F155" s="11">
        <f t="shared" si="8"/>
        <v>0</v>
      </c>
      <c r="G155" s="11">
        <f>IFERROR(INDEX(rngData,MATCH($B155,rngYear,0),MATCH(OFFSET(G155,-$A155,0),rngColumnNames,0)),"")</f>
        <v>0</v>
      </c>
      <c r="H155" s="11">
        <f>IFERROR(INDEX(rngData,MATCH($B155,rngYear,0),MATCH(OFFSET(H155,-$A155,0),rngColumnNames,0)),"")</f>
        <v>0</v>
      </c>
      <c r="I155" s="11">
        <f>IFERROR(INDEX(rngData,MATCH($B155,rngYear,0),MATCH(OFFSET(I155,-$A155,0),rngColumnNames,0)),"")</f>
        <v>0</v>
      </c>
      <c r="J155" s="11">
        <f t="shared" si="9"/>
        <v>0</v>
      </c>
      <c r="K155" s="15">
        <f>IFERROR(INDEX(rngData,MATCH($B155,rngYear,0),MATCH(OFFSET(K155,-$A155,0),rngColumnNames,0)),"")</f>
        <v>0</v>
      </c>
      <c r="L155" s="15">
        <f>IFERROR(INDEX(rngData,MATCH($B155,rngYear,0),MATCH(OFFSET(L155,-$A155,0),rngColumnNames,0)),"")</f>
        <v>0</v>
      </c>
      <c r="M155" s="15">
        <f>IFERROR(INDEX(rngData,MATCH($B155,rngYear,0),MATCH(OFFSET(M155,-$A155,0),rngColumnNames,0)),"")</f>
        <v>0</v>
      </c>
      <c r="N155" s="15">
        <f t="shared" si="10"/>
        <v>0</v>
      </c>
    </row>
    <row r="156">
      <c r="A156" s="9">
        <f t="shared" si="11"/>
        <v>25</v>
      </c>
      <c r="B156" s="10">
        <f>IF(INDEX(rngYear,A156+1)&lt;&gt;0,INDEX(rngYear,A156+1),"")</f>
        <v>2004</v>
      </c>
      <c r="C156" s="11">
        <f>IFERROR(INDEX(rngData,MATCH($B156,rngYear,0),MATCH(OFFSET(C156,-$A156,0),rngColumnNames,0)),"")</f>
        <v>0</v>
      </c>
      <c r="D156" s="11">
        <f>IFERROR(INDEX(rngData,MATCH($B156,rngYear,0),MATCH(OFFSET(D156,-$A156,0),rngColumnNames,0)),"")</f>
        <v>0</v>
      </c>
      <c r="E156" s="11">
        <f>IFERROR(INDEX(rngData,MATCH($B156,rngYear,0),MATCH(OFFSET(E156,-$A156,0),rngColumnNames,0)),"")</f>
        <v>0</v>
      </c>
      <c r="F156" s="11">
        <f t="shared" si="8"/>
        <v>0</v>
      </c>
      <c r="G156" s="11">
        <f>IFERROR(INDEX(rngData,MATCH($B156,rngYear,0),MATCH(OFFSET(G156,-$A156,0),rngColumnNames,0)),"")</f>
        <v>0</v>
      </c>
      <c r="H156" s="11">
        <f>IFERROR(INDEX(rngData,MATCH($B156,rngYear,0),MATCH(OFFSET(H156,-$A156,0),rngColumnNames,0)),"")</f>
        <v>0</v>
      </c>
      <c r="I156" s="11">
        <f>IFERROR(INDEX(rngData,MATCH($B156,rngYear,0),MATCH(OFFSET(I156,-$A156,0),rngColumnNames,0)),"")</f>
        <v>0</v>
      </c>
      <c r="J156" s="11">
        <f t="shared" si="9"/>
        <v>0</v>
      </c>
      <c r="K156" s="15">
        <f>IFERROR(INDEX(rngData,MATCH($B156,rngYear,0),MATCH(OFFSET(K156,-$A156,0),rngColumnNames,0)),"")</f>
        <v>0</v>
      </c>
      <c r="L156" s="15">
        <f>IFERROR(INDEX(rngData,MATCH($B156,rngYear,0),MATCH(OFFSET(L156,-$A156,0),rngColumnNames,0)),"")</f>
        <v>0</v>
      </c>
      <c r="M156" s="15">
        <f>IFERROR(INDEX(rngData,MATCH($B156,rngYear,0),MATCH(OFFSET(M156,-$A156,0),rngColumnNames,0)),"")</f>
        <v>0</v>
      </c>
      <c r="N156" s="15">
        <f t="shared" si="10"/>
        <v>0</v>
      </c>
    </row>
    <row r="157">
      <c r="A157" s="9">
        <f t="shared" si="11"/>
        <v>26</v>
      </c>
      <c r="B157" s="10">
        <f>IF(INDEX(rngYear,A157+1)&lt;&gt;0,INDEX(rngYear,A157+1),"")</f>
        <v>2005</v>
      </c>
      <c r="C157" s="11">
        <f>IFERROR(INDEX(rngData,MATCH($B157,rngYear,0),MATCH(OFFSET(C157,-$A157,0),rngColumnNames,0)),"")</f>
        <v>0</v>
      </c>
      <c r="D157" s="11">
        <f>IFERROR(INDEX(rngData,MATCH($B157,rngYear,0),MATCH(OFFSET(D157,-$A157,0),rngColumnNames,0)),"")</f>
        <v>0</v>
      </c>
      <c r="E157" s="11">
        <f>IFERROR(INDEX(rngData,MATCH($B157,rngYear,0),MATCH(OFFSET(E157,-$A157,0),rngColumnNames,0)),"")</f>
        <v>0</v>
      </c>
      <c r="F157" s="11">
        <f t="shared" si="8"/>
        <v>0</v>
      </c>
      <c r="G157" s="11">
        <f>IFERROR(INDEX(rngData,MATCH($B157,rngYear,0),MATCH(OFFSET(G157,-$A157,0),rngColumnNames,0)),"")</f>
        <v>0</v>
      </c>
      <c r="H157" s="11">
        <f>IFERROR(INDEX(rngData,MATCH($B157,rngYear,0),MATCH(OFFSET(H157,-$A157,0),rngColumnNames,0)),"")</f>
        <v>0</v>
      </c>
      <c r="I157" s="11">
        <f>IFERROR(INDEX(rngData,MATCH($B157,rngYear,0),MATCH(OFFSET(I157,-$A157,0),rngColumnNames,0)),"")</f>
        <v>0</v>
      </c>
      <c r="J157" s="11">
        <f t="shared" si="9"/>
        <v>0</v>
      </c>
      <c r="K157" s="15">
        <f>IFERROR(INDEX(rngData,MATCH($B157,rngYear,0),MATCH(OFFSET(K157,-$A157,0),rngColumnNames,0)),"")</f>
        <v>0</v>
      </c>
      <c r="L157" s="15">
        <f>IFERROR(INDEX(rngData,MATCH($B157,rngYear,0),MATCH(OFFSET(L157,-$A157,0),rngColumnNames,0)),"")</f>
        <v>0</v>
      </c>
      <c r="M157" s="15">
        <f>IFERROR(INDEX(rngData,MATCH($B157,rngYear,0),MATCH(OFFSET(M157,-$A157,0),rngColumnNames,0)),"")</f>
        <v>0</v>
      </c>
      <c r="N157" s="15">
        <f t="shared" si="10"/>
        <v>0</v>
      </c>
    </row>
    <row r="158">
      <c r="A158" s="9">
        <f t="shared" si="11"/>
        <v>27</v>
      </c>
      <c r="B158" s="10">
        <f>IF(INDEX(rngYear,A158+1)&lt;&gt;0,INDEX(rngYear,A158+1),"")</f>
        <v>2006</v>
      </c>
      <c r="C158" s="11">
        <f>IFERROR(INDEX(rngData,MATCH($B158,rngYear,0),MATCH(OFFSET(C158,-$A158,0),rngColumnNames,0)),"")</f>
        <v>0</v>
      </c>
      <c r="D158" s="11">
        <f>IFERROR(INDEX(rngData,MATCH($B158,rngYear,0),MATCH(OFFSET(D158,-$A158,0),rngColumnNames,0)),"")</f>
        <v>0</v>
      </c>
      <c r="E158" s="11">
        <f>IFERROR(INDEX(rngData,MATCH($B158,rngYear,0),MATCH(OFFSET(E158,-$A158,0),rngColumnNames,0)),"")</f>
        <v>0</v>
      </c>
      <c r="F158" s="11">
        <f t="shared" si="8"/>
        <v>0</v>
      </c>
      <c r="G158" s="11">
        <f>IFERROR(INDEX(rngData,MATCH($B158,rngYear,0),MATCH(OFFSET(G158,-$A158,0),rngColumnNames,0)),"")</f>
        <v>0</v>
      </c>
      <c r="H158" s="11">
        <f>IFERROR(INDEX(rngData,MATCH($B158,rngYear,0),MATCH(OFFSET(H158,-$A158,0),rngColumnNames,0)),"")</f>
        <v>0</v>
      </c>
      <c r="I158" s="11">
        <f>IFERROR(INDEX(rngData,MATCH($B158,rngYear,0),MATCH(OFFSET(I158,-$A158,0),rngColumnNames,0)),"")</f>
        <v>0</v>
      </c>
      <c r="J158" s="11">
        <f t="shared" si="9"/>
        <v>0</v>
      </c>
      <c r="K158" s="15">
        <f>IFERROR(INDEX(rngData,MATCH($B158,rngYear,0),MATCH(OFFSET(K158,-$A158,0),rngColumnNames,0)),"")</f>
        <v>0</v>
      </c>
      <c r="L158" s="15">
        <f>IFERROR(INDEX(rngData,MATCH($B158,rngYear,0),MATCH(OFFSET(L158,-$A158,0),rngColumnNames,0)),"")</f>
        <v>0</v>
      </c>
      <c r="M158" s="15">
        <f>IFERROR(INDEX(rngData,MATCH($B158,rngYear,0),MATCH(OFFSET(M158,-$A158,0),rngColumnNames,0)),"")</f>
        <v>0</v>
      </c>
      <c r="N158" s="15">
        <f t="shared" si="10"/>
        <v>0</v>
      </c>
    </row>
    <row r="159">
      <c r="A159" s="9">
        <f t="shared" si="11"/>
        <v>28</v>
      </c>
      <c r="B159" s="10">
        <f>IF(INDEX(rngYear,A159+1)&lt;&gt;0,INDEX(rngYear,A159+1),"")</f>
        <v>2007</v>
      </c>
      <c r="C159" s="11">
        <f>IFERROR(INDEX(rngData,MATCH($B159,rngYear,0),MATCH(OFFSET(C159,-$A159,0),rngColumnNames,0)),"")</f>
        <v>0</v>
      </c>
      <c r="D159" s="11">
        <f>IFERROR(INDEX(rngData,MATCH($B159,rngYear,0),MATCH(OFFSET(D159,-$A159,0),rngColumnNames,0)),"")</f>
        <v>0</v>
      </c>
      <c r="E159" s="11">
        <f>IFERROR(INDEX(rngData,MATCH($B159,rngYear,0),MATCH(OFFSET(E159,-$A159,0),rngColumnNames,0)),"")</f>
        <v>0</v>
      </c>
      <c r="F159" s="11">
        <f t="shared" si="8"/>
        <v>0</v>
      </c>
      <c r="G159" s="11">
        <f>IFERROR(INDEX(rngData,MATCH($B159,rngYear,0),MATCH(OFFSET(G159,-$A159,0),rngColumnNames,0)),"")</f>
        <v>0</v>
      </c>
      <c r="H159" s="11">
        <f>IFERROR(INDEX(rngData,MATCH($B159,rngYear,0),MATCH(OFFSET(H159,-$A159,0),rngColumnNames,0)),"")</f>
        <v>0</v>
      </c>
      <c r="I159" s="11">
        <f>IFERROR(INDEX(rngData,MATCH($B159,rngYear,0),MATCH(OFFSET(I159,-$A159,0),rngColumnNames,0)),"")</f>
        <v>0</v>
      </c>
      <c r="J159" s="11">
        <f t="shared" si="9"/>
        <v>0</v>
      </c>
      <c r="K159" s="15">
        <f>IFERROR(INDEX(rngData,MATCH($B159,rngYear,0),MATCH(OFFSET(K159,-$A159,0),rngColumnNames,0)),"")</f>
        <v>0</v>
      </c>
      <c r="L159" s="15">
        <f>IFERROR(INDEX(rngData,MATCH($B159,rngYear,0),MATCH(OFFSET(L159,-$A159,0),rngColumnNames,0)),"")</f>
        <v>0</v>
      </c>
      <c r="M159" s="15">
        <f>IFERROR(INDEX(rngData,MATCH($B159,rngYear,0),MATCH(OFFSET(M159,-$A159,0),rngColumnNames,0)),"")</f>
        <v>0</v>
      </c>
      <c r="N159" s="15">
        <f t="shared" si="10"/>
        <v>0</v>
      </c>
    </row>
    <row r="160">
      <c r="A160" s="9">
        <f t="shared" si="11"/>
        <v>29</v>
      </c>
      <c r="B160" s="10">
        <f>IF(INDEX(rngYear,A160+1)&lt;&gt;0,INDEX(rngYear,A160+1),"")</f>
        <v>2008</v>
      </c>
      <c r="C160" s="11">
        <f>IFERROR(INDEX(rngData,MATCH($B160,rngYear,0),MATCH(OFFSET(C160,-$A160,0),rngColumnNames,0)),"")</f>
        <v>0</v>
      </c>
      <c r="D160" s="11">
        <f>IFERROR(INDEX(rngData,MATCH($B160,rngYear,0),MATCH(OFFSET(D160,-$A160,0),rngColumnNames,0)),"")</f>
        <v>0</v>
      </c>
      <c r="E160" s="11">
        <f>IFERROR(INDEX(rngData,MATCH($B160,rngYear,0),MATCH(OFFSET(E160,-$A160,0),rngColumnNames,0)),"")</f>
        <v>0</v>
      </c>
      <c r="F160" s="11">
        <f t="shared" si="8"/>
        <v>0</v>
      </c>
      <c r="G160" s="11">
        <f>IFERROR(INDEX(rngData,MATCH($B160,rngYear,0),MATCH(OFFSET(G160,-$A160,0),rngColumnNames,0)),"")</f>
        <v>0</v>
      </c>
      <c r="H160" s="11">
        <f>IFERROR(INDEX(rngData,MATCH($B160,rngYear,0),MATCH(OFFSET(H160,-$A160,0),rngColumnNames,0)),"")</f>
        <v>0</v>
      </c>
      <c r="I160" s="11">
        <f>IFERROR(INDEX(rngData,MATCH($B160,rngYear,0),MATCH(OFFSET(I160,-$A160,0),rngColumnNames,0)),"")</f>
        <v>0</v>
      </c>
      <c r="J160" s="11">
        <f t="shared" si="9"/>
        <v>0</v>
      </c>
      <c r="K160" s="15">
        <f>IFERROR(INDEX(rngData,MATCH($B160,rngYear,0),MATCH(OFFSET(K160,-$A160,0),rngColumnNames,0)),"")</f>
        <v>0</v>
      </c>
      <c r="L160" s="15">
        <f>IFERROR(INDEX(rngData,MATCH($B160,rngYear,0),MATCH(OFFSET(L160,-$A160,0),rngColumnNames,0)),"")</f>
        <v>0</v>
      </c>
      <c r="M160" s="15">
        <f>IFERROR(INDEX(rngData,MATCH($B160,rngYear,0),MATCH(OFFSET(M160,-$A160,0),rngColumnNames,0)),"")</f>
        <v>0</v>
      </c>
      <c r="N160" s="15">
        <f t="shared" si="10"/>
        <v>0</v>
      </c>
    </row>
    <row r="161">
      <c r="A161" s="9">
        <f t="shared" si="11"/>
        <v>30</v>
      </c>
      <c r="B161" s="10">
        <f>IF(INDEX(rngYear,A161+1)&lt;&gt;0,INDEX(rngYear,A161+1),"")</f>
        <v>2009</v>
      </c>
      <c r="C161" s="11">
        <f>IFERROR(INDEX(rngData,MATCH($B161,rngYear,0),MATCH(OFFSET(C161,-$A161,0),rngColumnNames,0)),"")</f>
        <v>0</v>
      </c>
      <c r="D161" s="11">
        <f>IFERROR(INDEX(rngData,MATCH($B161,rngYear,0),MATCH(OFFSET(D161,-$A161,0),rngColumnNames,0)),"")</f>
        <v>0</v>
      </c>
      <c r="E161" s="11">
        <f>IFERROR(INDEX(rngData,MATCH($B161,rngYear,0),MATCH(OFFSET(E161,-$A161,0),rngColumnNames,0)),"")</f>
        <v>0</v>
      </c>
      <c r="F161" s="11">
        <f t="shared" si="8"/>
        <v>0</v>
      </c>
      <c r="G161" s="11">
        <f>IFERROR(INDEX(rngData,MATCH($B161,rngYear,0),MATCH(OFFSET(G161,-$A161,0),rngColumnNames,0)),"")</f>
        <v>0</v>
      </c>
      <c r="H161" s="11">
        <f>IFERROR(INDEX(rngData,MATCH($B161,rngYear,0),MATCH(OFFSET(H161,-$A161,0),rngColumnNames,0)),"")</f>
        <v>0</v>
      </c>
      <c r="I161" s="11">
        <f>IFERROR(INDEX(rngData,MATCH($B161,rngYear,0),MATCH(OFFSET(I161,-$A161,0),rngColumnNames,0)),"")</f>
        <v>0</v>
      </c>
      <c r="J161" s="11">
        <f t="shared" si="9"/>
        <v>0</v>
      </c>
      <c r="K161" s="15">
        <f>IFERROR(INDEX(rngData,MATCH($B161,rngYear,0),MATCH(OFFSET(K161,-$A161,0),rngColumnNames,0)),"")</f>
        <v>0</v>
      </c>
      <c r="L161" s="15">
        <f>IFERROR(INDEX(rngData,MATCH($B161,rngYear,0),MATCH(OFFSET(L161,-$A161,0),rngColumnNames,0)),"")</f>
        <v>0</v>
      </c>
      <c r="M161" s="15">
        <f>IFERROR(INDEX(rngData,MATCH($B161,rngYear,0),MATCH(OFFSET(M161,-$A161,0),rngColumnNames,0)),"")</f>
        <v>0</v>
      </c>
      <c r="N161" s="15">
        <f t="shared" si="10"/>
        <v>0</v>
      </c>
    </row>
    <row r="162">
      <c r="A162" s="9">
        <f t="shared" si="11"/>
        <v>31</v>
      </c>
      <c r="B162" s="10">
        <f>IF(INDEX(rngYear,A162+1)&lt;&gt;0,INDEX(rngYear,A162+1),"")</f>
        <v>2010</v>
      </c>
      <c r="C162" s="11">
        <f>IFERROR(INDEX(rngData,MATCH($B162,rngYear,0),MATCH(OFFSET(C162,-$A162,0),rngColumnNames,0)),"")</f>
        <v>0</v>
      </c>
      <c r="D162" s="11">
        <f>IFERROR(INDEX(rngData,MATCH($B162,rngYear,0),MATCH(OFFSET(D162,-$A162,0),rngColumnNames,0)),"")</f>
        <v>0</v>
      </c>
      <c r="E162" s="11">
        <f>IFERROR(INDEX(rngData,MATCH($B162,rngYear,0),MATCH(OFFSET(E162,-$A162,0),rngColumnNames,0)),"")</f>
        <v>0</v>
      </c>
      <c r="F162" s="11">
        <f t="shared" si="8"/>
        <v>0</v>
      </c>
      <c r="G162" s="11">
        <f>IFERROR(INDEX(rngData,MATCH($B162,rngYear,0),MATCH(OFFSET(G162,-$A162,0),rngColumnNames,0)),"")</f>
        <v>0</v>
      </c>
      <c r="H162" s="11">
        <f>IFERROR(INDEX(rngData,MATCH($B162,rngYear,0),MATCH(OFFSET(H162,-$A162,0),rngColumnNames,0)),"")</f>
        <v>0</v>
      </c>
      <c r="I162" s="11">
        <f>IFERROR(INDEX(rngData,MATCH($B162,rngYear,0),MATCH(OFFSET(I162,-$A162,0),rngColumnNames,0)),"")</f>
        <v>0</v>
      </c>
      <c r="J162" s="11">
        <f t="shared" si="9"/>
        <v>0</v>
      </c>
      <c r="K162" s="15">
        <f>IFERROR(INDEX(rngData,MATCH($B162,rngYear,0),MATCH(OFFSET(K162,-$A162,0),rngColumnNames,0)),"")</f>
        <v>0</v>
      </c>
      <c r="L162" s="15">
        <f>IFERROR(INDEX(rngData,MATCH($B162,rngYear,0),MATCH(OFFSET(L162,-$A162,0),rngColumnNames,0)),"")</f>
        <v>0</v>
      </c>
      <c r="M162" s="15">
        <f>IFERROR(INDEX(rngData,MATCH($B162,rngYear,0),MATCH(OFFSET(M162,-$A162,0),rngColumnNames,0)),"")</f>
        <v>0</v>
      </c>
      <c r="N162" s="15">
        <f t="shared" si="10"/>
        <v>0</v>
      </c>
    </row>
    <row r="163">
      <c r="A163" s="9">
        <f t="shared" si="11"/>
        <v>32</v>
      </c>
      <c r="B163" s="10">
        <f>IF(INDEX(rngYear,A163+1)&lt;&gt;0,INDEX(rngYear,A163+1),"")</f>
        <v>2011</v>
      </c>
      <c r="C163" s="11">
        <f>IFERROR(INDEX(rngData,MATCH($B163,rngYear,0),MATCH(OFFSET(C163,-$A163,0),rngColumnNames,0)),"")</f>
        <v>0</v>
      </c>
      <c r="D163" s="11">
        <f>IFERROR(INDEX(rngData,MATCH($B163,rngYear,0),MATCH(OFFSET(D163,-$A163,0),rngColumnNames,0)),"")</f>
        <v>0</v>
      </c>
      <c r="E163" s="11">
        <f>IFERROR(INDEX(rngData,MATCH($B163,rngYear,0),MATCH(OFFSET(E163,-$A163,0),rngColumnNames,0)),"")</f>
        <v>0</v>
      </c>
      <c r="F163" s="11">
        <f t="shared" si="8"/>
        <v>0</v>
      </c>
      <c r="G163" s="11">
        <f>IFERROR(INDEX(rngData,MATCH($B163,rngYear,0),MATCH(OFFSET(G163,-$A163,0),rngColumnNames,0)),"")</f>
        <v>0</v>
      </c>
      <c r="H163" s="11">
        <f>IFERROR(INDEX(rngData,MATCH($B163,rngYear,0),MATCH(OFFSET(H163,-$A163,0),rngColumnNames,0)),"")</f>
        <v>0</v>
      </c>
      <c r="I163" s="11">
        <f>IFERROR(INDEX(rngData,MATCH($B163,rngYear,0),MATCH(OFFSET(I163,-$A163,0),rngColumnNames,0)),"")</f>
        <v>0</v>
      </c>
      <c r="J163" s="11">
        <f t="shared" si="9"/>
        <v>0</v>
      </c>
      <c r="K163" s="15">
        <f>IFERROR(INDEX(rngData,MATCH($B163,rngYear,0),MATCH(OFFSET(K163,-$A163,0),rngColumnNames,0)),"")</f>
        <v>0</v>
      </c>
      <c r="L163" s="15">
        <f>IFERROR(INDEX(rngData,MATCH($B163,rngYear,0),MATCH(OFFSET(L163,-$A163,0),rngColumnNames,0)),"")</f>
        <v>0</v>
      </c>
      <c r="M163" s="15">
        <f>IFERROR(INDEX(rngData,MATCH($B163,rngYear,0),MATCH(OFFSET(M163,-$A163,0),rngColumnNames,0)),"")</f>
        <v>0</v>
      </c>
      <c r="N163" s="15">
        <f t="shared" si="10"/>
        <v>0</v>
      </c>
    </row>
    <row r="164">
      <c r="A164" s="9">
        <f t="shared" si="11"/>
        <v>33</v>
      </c>
      <c r="B164" s="10">
        <f>IF(INDEX(rngYear,A164+1)&lt;&gt;0,INDEX(rngYear,A164+1),"")</f>
        <v>2012</v>
      </c>
      <c r="C164" s="11">
        <f>IFERROR(INDEX(rngData,MATCH($B164,rngYear,0),MATCH(OFFSET(C164,-$A164,0),rngColumnNames,0)),"")</f>
        <v>0</v>
      </c>
      <c r="D164" s="11">
        <f>IFERROR(INDEX(rngData,MATCH($B164,rngYear,0),MATCH(OFFSET(D164,-$A164,0),rngColumnNames,0)),"")</f>
        <v>0</v>
      </c>
      <c r="E164" s="11">
        <f>IFERROR(INDEX(rngData,MATCH($B164,rngYear,0),MATCH(OFFSET(E164,-$A164,0),rngColumnNames,0)),"")</f>
        <v>0</v>
      </c>
      <c r="F164" s="11">
        <f ref="F164:F191" t="shared" si="12">IFERROR(E164-D164,"")</f>
        <v>0</v>
      </c>
      <c r="G164" s="11">
        <f>IFERROR(INDEX(rngData,MATCH($B164,rngYear,0),MATCH(OFFSET(G164,-$A164,0),rngColumnNames,0)),"")</f>
        <v>0</v>
      </c>
      <c r="H164" s="11">
        <f>IFERROR(INDEX(rngData,MATCH($B164,rngYear,0),MATCH(OFFSET(H164,-$A164,0),rngColumnNames,0)),"")</f>
        <v>0</v>
      </c>
      <c r="I164" s="11">
        <f>IFERROR(INDEX(rngData,MATCH($B164,rngYear,0),MATCH(OFFSET(I164,-$A164,0),rngColumnNames,0)),"")</f>
        <v>0</v>
      </c>
      <c r="J164" s="11">
        <f ref="J164:J191" t="shared" si="13">IFERROR(I164-H164,"")</f>
        <v>0</v>
      </c>
      <c r="K164" s="15">
        <f>IFERROR(INDEX(rngData,MATCH($B164,rngYear,0),MATCH(OFFSET(K164,-$A164,0),rngColumnNames,0)),"")</f>
        <v>0</v>
      </c>
      <c r="L164" s="15">
        <f>IFERROR(INDEX(rngData,MATCH($B164,rngYear,0),MATCH(OFFSET(L164,-$A164,0),rngColumnNames,0)),"")</f>
        <v>0</v>
      </c>
      <c r="M164" s="15">
        <f>IFERROR(INDEX(rngData,MATCH($B164,rngYear,0),MATCH(OFFSET(M164,-$A164,0),rngColumnNames,0)),"")</f>
        <v>0</v>
      </c>
      <c r="N164" s="15">
        <f ref="N164:N191" t="shared" si="14">IFERROR(M164-L164,"")</f>
        <v>0</v>
      </c>
    </row>
    <row r="165" hidden="1">
      <c r="A165" s="9">
        <f ref="A165:A191" t="shared" si="15">A164+1</f>
        <v>34</v>
      </c>
      <c r="B165" s="10">
        <f>IF(INDEX(rngYear,A165+1)&lt;&gt;0,INDEX(rngYear,A165+1),"")</f>
      </c>
      <c r="C165" s="11">
        <f>IFERROR(INDEX(rngData,MATCH($B165,rngYear,0),MATCH(OFFSET(C165,-$A165,0),rngColumnNames,0)),"")</f>
      </c>
      <c r="D165" s="11">
        <f>IFERROR(INDEX(rngData,MATCH($B165,rngYear,0),MATCH(OFFSET(D165,-$A165,0),rngColumnNames,0)),"")</f>
      </c>
      <c r="E165" s="11">
        <f>IFERROR(INDEX(rngData,MATCH($B165,rngYear,0),MATCH(OFFSET(E165,-$A165,0),rngColumnNames,0)),"")</f>
      </c>
      <c r="F165" s="11">
        <f t="shared" si="12"/>
      </c>
      <c r="G165" s="11">
        <f>IFERROR(INDEX(rngData,MATCH($B165,rngYear,0),MATCH(OFFSET(G165,-$A165,0),rngColumnNames,0)),"")</f>
      </c>
      <c r="H165" s="11">
        <f>IFERROR(INDEX(rngData,MATCH($B165,rngYear,0),MATCH(OFFSET(H165,-$A165,0),rngColumnNames,0)),"")</f>
      </c>
      <c r="I165" s="11">
        <f>IFERROR(INDEX(rngData,MATCH($B165,rngYear,0),MATCH(OFFSET(I165,-$A165,0),rngColumnNames,0)),"")</f>
      </c>
      <c r="J165" s="11">
        <f t="shared" si="13"/>
      </c>
      <c r="K165" s="15">
        <f>IFERROR(INDEX(rngData,MATCH($B165,rngYear,0),MATCH(OFFSET(K165,-$A165,0),rngColumnNames,0)),"")</f>
      </c>
      <c r="L165" s="15">
        <f>IFERROR(INDEX(rngData,MATCH($B165,rngYear,0),MATCH(OFFSET(L165,-$A165,0),rngColumnNames,0)),"")</f>
      </c>
      <c r="M165" s="15">
        <f>IFERROR(INDEX(rngData,MATCH($B165,rngYear,0),MATCH(OFFSET(M165,-$A165,0),rngColumnNames,0)),"")</f>
      </c>
      <c r="N165" s="15">
        <f t="shared" si="14"/>
      </c>
    </row>
    <row r="166" hidden="1">
      <c r="A166" s="9">
        <f t="shared" si="15"/>
        <v>35</v>
      </c>
      <c r="B166" s="10">
        <f>IF(INDEX(rngYear,A166+1)&lt;&gt;0,INDEX(rngYear,A166+1),"")</f>
      </c>
      <c r="C166" s="11">
        <f>IFERROR(INDEX(rngData,MATCH($B166,rngYear,0),MATCH(OFFSET(C166,-$A166,0),rngColumnNames,0)),"")</f>
      </c>
      <c r="D166" s="11">
        <f>IFERROR(INDEX(rngData,MATCH($B166,rngYear,0),MATCH(OFFSET(D166,-$A166,0),rngColumnNames,0)),"")</f>
      </c>
      <c r="E166" s="11">
        <f>IFERROR(INDEX(rngData,MATCH($B166,rngYear,0),MATCH(OFFSET(E166,-$A166,0),rngColumnNames,0)),"")</f>
      </c>
      <c r="F166" s="11">
        <f t="shared" si="12"/>
      </c>
      <c r="G166" s="11">
        <f>IFERROR(INDEX(rngData,MATCH($B166,rngYear,0),MATCH(OFFSET(G166,-$A166,0),rngColumnNames,0)),"")</f>
      </c>
      <c r="H166" s="11">
        <f>IFERROR(INDEX(rngData,MATCH($B166,rngYear,0),MATCH(OFFSET(H166,-$A166,0),rngColumnNames,0)),"")</f>
      </c>
      <c r="I166" s="11">
        <f>IFERROR(INDEX(rngData,MATCH($B166,rngYear,0),MATCH(OFFSET(I166,-$A166,0),rngColumnNames,0)),"")</f>
      </c>
      <c r="J166" s="11">
        <f t="shared" si="13"/>
      </c>
      <c r="K166" s="15">
        <f>IFERROR(INDEX(rngData,MATCH($B166,rngYear,0),MATCH(OFFSET(K166,-$A166,0),rngColumnNames,0)),"")</f>
      </c>
      <c r="L166" s="15">
        <f>IFERROR(INDEX(rngData,MATCH($B166,rngYear,0),MATCH(OFFSET(L166,-$A166,0),rngColumnNames,0)),"")</f>
      </c>
      <c r="M166" s="15">
        <f>IFERROR(INDEX(rngData,MATCH($B166,rngYear,0),MATCH(OFFSET(M166,-$A166,0),rngColumnNames,0)),"")</f>
      </c>
      <c r="N166" s="15">
        <f t="shared" si="14"/>
      </c>
    </row>
    <row r="167" hidden="1">
      <c r="A167" s="9">
        <f t="shared" si="15"/>
        <v>36</v>
      </c>
      <c r="B167" s="10">
        <f>IF(INDEX(rngYear,A167+1)&lt;&gt;0,INDEX(rngYear,A167+1),"")</f>
      </c>
      <c r="C167" s="11">
        <f>IFERROR(INDEX(rngData,MATCH($B167,rngYear,0),MATCH(OFFSET(C167,-$A167,0),rngColumnNames,0)),"")</f>
      </c>
      <c r="D167" s="11">
        <f>IFERROR(INDEX(rngData,MATCH($B167,rngYear,0),MATCH(OFFSET(D167,-$A167,0),rngColumnNames,0)),"")</f>
      </c>
      <c r="E167" s="11">
        <f>IFERROR(INDEX(rngData,MATCH($B167,rngYear,0),MATCH(OFFSET(E167,-$A167,0),rngColumnNames,0)),"")</f>
      </c>
      <c r="F167" s="11">
        <f t="shared" si="12"/>
      </c>
      <c r="G167" s="11">
        <f>IFERROR(INDEX(rngData,MATCH($B167,rngYear,0),MATCH(OFFSET(G167,-$A167,0),rngColumnNames,0)),"")</f>
      </c>
      <c r="H167" s="11">
        <f>IFERROR(INDEX(rngData,MATCH($B167,rngYear,0),MATCH(OFFSET(H167,-$A167,0),rngColumnNames,0)),"")</f>
      </c>
      <c r="I167" s="11">
        <f>IFERROR(INDEX(rngData,MATCH($B167,rngYear,0),MATCH(OFFSET(I167,-$A167,0),rngColumnNames,0)),"")</f>
      </c>
      <c r="J167" s="11">
        <f t="shared" si="13"/>
      </c>
      <c r="K167" s="15">
        <f>IFERROR(INDEX(rngData,MATCH($B167,rngYear,0),MATCH(OFFSET(K167,-$A167,0),rngColumnNames,0)),"")</f>
      </c>
      <c r="L167" s="15">
        <f>IFERROR(INDEX(rngData,MATCH($B167,rngYear,0),MATCH(OFFSET(L167,-$A167,0),rngColumnNames,0)),"")</f>
      </c>
      <c r="M167" s="15">
        <f>IFERROR(INDEX(rngData,MATCH($B167,rngYear,0),MATCH(OFFSET(M167,-$A167,0),rngColumnNames,0)),"")</f>
      </c>
      <c r="N167" s="15">
        <f t="shared" si="14"/>
      </c>
    </row>
    <row r="168" hidden="1">
      <c r="A168" s="9">
        <f t="shared" si="15"/>
        <v>37</v>
      </c>
      <c r="B168" s="10">
        <f>IF(INDEX(rngYear,A168+1)&lt;&gt;0,INDEX(rngYear,A168+1),"")</f>
      </c>
      <c r="C168" s="11">
        <f>IFERROR(INDEX(rngData,MATCH($B168,rngYear,0),MATCH(OFFSET(C168,-$A168,0),rngColumnNames,0)),"")</f>
      </c>
      <c r="D168" s="11">
        <f>IFERROR(INDEX(rngData,MATCH($B168,rngYear,0),MATCH(OFFSET(D168,-$A168,0),rngColumnNames,0)),"")</f>
      </c>
      <c r="E168" s="11">
        <f>IFERROR(INDEX(rngData,MATCH($B168,rngYear,0),MATCH(OFFSET(E168,-$A168,0),rngColumnNames,0)),"")</f>
      </c>
      <c r="F168" s="11">
        <f t="shared" si="12"/>
      </c>
      <c r="G168" s="11">
        <f>IFERROR(INDEX(rngData,MATCH($B168,rngYear,0),MATCH(OFFSET(G168,-$A168,0),rngColumnNames,0)),"")</f>
      </c>
      <c r="H168" s="11">
        <f>IFERROR(INDEX(rngData,MATCH($B168,rngYear,0),MATCH(OFFSET(H168,-$A168,0),rngColumnNames,0)),"")</f>
      </c>
      <c r="I168" s="11">
        <f>IFERROR(INDEX(rngData,MATCH($B168,rngYear,0),MATCH(OFFSET(I168,-$A168,0),rngColumnNames,0)),"")</f>
      </c>
      <c r="J168" s="11">
        <f t="shared" si="13"/>
      </c>
      <c r="K168" s="15">
        <f>IFERROR(INDEX(rngData,MATCH($B168,rngYear,0),MATCH(OFFSET(K168,-$A168,0),rngColumnNames,0)),"")</f>
      </c>
      <c r="L168" s="15">
        <f>IFERROR(INDEX(rngData,MATCH($B168,rngYear,0),MATCH(OFFSET(L168,-$A168,0),rngColumnNames,0)),"")</f>
      </c>
      <c r="M168" s="15">
        <f>IFERROR(INDEX(rngData,MATCH($B168,rngYear,0),MATCH(OFFSET(M168,-$A168,0),rngColumnNames,0)),"")</f>
      </c>
      <c r="N168" s="15">
        <f t="shared" si="14"/>
      </c>
    </row>
    <row r="169" hidden="1">
      <c r="A169" s="9">
        <f t="shared" si="15"/>
        <v>38</v>
      </c>
      <c r="B169" s="10">
        <f>IF(INDEX(rngYear,A169+1)&lt;&gt;0,INDEX(rngYear,A169+1),"")</f>
      </c>
      <c r="C169" s="11">
        <f>IFERROR(INDEX(rngData,MATCH($B169,rngYear,0),MATCH(OFFSET(C169,-$A169,0),rngColumnNames,0)),"")</f>
      </c>
      <c r="D169" s="11">
        <f>IFERROR(INDEX(rngData,MATCH($B169,rngYear,0),MATCH(OFFSET(D169,-$A169,0),rngColumnNames,0)),"")</f>
      </c>
      <c r="E169" s="11">
        <f>IFERROR(INDEX(rngData,MATCH($B169,rngYear,0),MATCH(OFFSET(E169,-$A169,0),rngColumnNames,0)),"")</f>
      </c>
      <c r="F169" s="11">
        <f t="shared" si="12"/>
      </c>
      <c r="G169" s="11">
        <f>IFERROR(INDEX(rngData,MATCH($B169,rngYear,0),MATCH(OFFSET(G169,-$A169,0),rngColumnNames,0)),"")</f>
      </c>
      <c r="H169" s="11">
        <f>IFERROR(INDEX(rngData,MATCH($B169,rngYear,0),MATCH(OFFSET(H169,-$A169,0),rngColumnNames,0)),"")</f>
      </c>
      <c r="I169" s="11">
        <f>IFERROR(INDEX(rngData,MATCH($B169,rngYear,0),MATCH(OFFSET(I169,-$A169,0),rngColumnNames,0)),"")</f>
      </c>
      <c r="J169" s="11">
        <f t="shared" si="13"/>
      </c>
      <c r="K169" s="15">
        <f>IFERROR(INDEX(rngData,MATCH($B169,rngYear,0),MATCH(OFFSET(K169,-$A169,0),rngColumnNames,0)),"")</f>
      </c>
      <c r="L169" s="15">
        <f>IFERROR(INDEX(rngData,MATCH($B169,rngYear,0),MATCH(OFFSET(L169,-$A169,0),rngColumnNames,0)),"")</f>
      </c>
      <c r="M169" s="15">
        <f>IFERROR(INDEX(rngData,MATCH($B169,rngYear,0),MATCH(OFFSET(M169,-$A169,0),rngColumnNames,0)),"")</f>
      </c>
      <c r="N169" s="15">
        <f t="shared" si="14"/>
      </c>
    </row>
    <row r="170" hidden="1">
      <c r="A170" s="9">
        <f t="shared" si="15"/>
        <v>39</v>
      </c>
      <c r="B170" s="10">
        <f>IF(INDEX(rngYear,A170+1)&lt;&gt;0,INDEX(rngYear,A170+1),"")</f>
      </c>
      <c r="C170" s="11">
        <f>IFERROR(INDEX(rngData,MATCH($B170,rngYear,0),MATCH(OFFSET(C170,-$A170,0),rngColumnNames,0)),"")</f>
      </c>
      <c r="D170" s="11">
        <f>IFERROR(INDEX(rngData,MATCH($B170,rngYear,0),MATCH(OFFSET(D170,-$A170,0),rngColumnNames,0)),"")</f>
      </c>
      <c r="E170" s="11">
        <f>IFERROR(INDEX(rngData,MATCH($B170,rngYear,0),MATCH(OFFSET(E170,-$A170,0),rngColumnNames,0)),"")</f>
      </c>
      <c r="F170" s="11">
        <f t="shared" si="12"/>
      </c>
      <c r="G170" s="11">
        <f>IFERROR(INDEX(rngData,MATCH($B170,rngYear,0),MATCH(OFFSET(G170,-$A170,0),rngColumnNames,0)),"")</f>
      </c>
      <c r="H170" s="11">
        <f>IFERROR(INDEX(rngData,MATCH($B170,rngYear,0),MATCH(OFFSET(H170,-$A170,0),rngColumnNames,0)),"")</f>
      </c>
      <c r="I170" s="11">
        <f>IFERROR(INDEX(rngData,MATCH($B170,rngYear,0),MATCH(OFFSET(I170,-$A170,0),rngColumnNames,0)),"")</f>
      </c>
      <c r="J170" s="11">
        <f t="shared" si="13"/>
      </c>
      <c r="K170" s="15">
        <f>IFERROR(INDEX(rngData,MATCH($B170,rngYear,0),MATCH(OFFSET(K170,-$A170,0),rngColumnNames,0)),"")</f>
      </c>
      <c r="L170" s="15">
        <f>IFERROR(INDEX(rngData,MATCH($B170,rngYear,0),MATCH(OFFSET(L170,-$A170,0),rngColumnNames,0)),"")</f>
      </c>
      <c r="M170" s="15">
        <f>IFERROR(INDEX(rngData,MATCH($B170,rngYear,0),MATCH(OFFSET(M170,-$A170,0),rngColumnNames,0)),"")</f>
      </c>
      <c r="N170" s="15">
        <f t="shared" si="14"/>
      </c>
    </row>
    <row r="171" hidden="1">
      <c r="A171" s="9">
        <f t="shared" si="15"/>
        <v>40</v>
      </c>
      <c r="B171" s="10">
        <f>IF(INDEX(rngYear,A171+1)&lt;&gt;0,INDEX(rngYear,A171+1),"")</f>
      </c>
      <c r="C171" s="11">
        <f>IFERROR(INDEX(rngData,MATCH($B171,rngYear,0),MATCH(OFFSET(C171,-$A171,0),rngColumnNames,0)),"")</f>
      </c>
      <c r="D171" s="11">
        <f>IFERROR(INDEX(rngData,MATCH($B171,rngYear,0),MATCH(OFFSET(D171,-$A171,0),rngColumnNames,0)),"")</f>
      </c>
      <c r="E171" s="11">
        <f>IFERROR(INDEX(rngData,MATCH($B171,rngYear,0),MATCH(OFFSET(E171,-$A171,0),rngColumnNames,0)),"")</f>
      </c>
      <c r="F171" s="11">
        <f t="shared" si="12"/>
      </c>
      <c r="G171" s="11">
        <f>IFERROR(INDEX(rngData,MATCH($B171,rngYear,0),MATCH(OFFSET(G171,-$A171,0),rngColumnNames,0)),"")</f>
      </c>
      <c r="H171" s="11">
        <f>IFERROR(INDEX(rngData,MATCH($B171,rngYear,0),MATCH(OFFSET(H171,-$A171,0),rngColumnNames,0)),"")</f>
      </c>
      <c r="I171" s="11">
        <f>IFERROR(INDEX(rngData,MATCH($B171,rngYear,0),MATCH(OFFSET(I171,-$A171,0),rngColumnNames,0)),"")</f>
      </c>
      <c r="J171" s="11">
        <f t="shared" si="13"/>
      </c>
      <c r="K171" s="15">
        <f>IFERROR(INDEX(rngData,MATCH($B171,rngYear,0),MATCH(OFFSET(K171,-$A171,0),rngColumnNames,0)),"")</f>
      </c>
      <c r="L171" s="15">
        <f>IFERROR(INDEX(rngData,MATCH($B171,rngYear,0),MATCH(OFFSET(L171,-$A171,0),rngColumnNames,0)),"")</f>
      </c>
      <c r="M171" s="15">
        <f>IFERROR(INDEX(rngData,MATCH($B171,rngYear,0),MATCH(OFFSET(M171,-$A171,0),rngColumnNames,0)),"")</f>
      </c>
      <c r="N171" s="15">
        <f t="shared" si="14"/>
      </c>
    </row>
    <row r="172" hidden="1">
      <c r="A172" s="9">
        <f t="shared" si="15"/>
        <v>41</v>
      </c>
      <c r="B172" s="10">
        <f>IF(INDEX(rngYear,A172+1)&lt;&gt;0,INDEX(rngYear,A172+1),"")</f>
      </c>
      <c r="C172" s="11">
        <f>IFERROR(INDEX(rngData,MATCH($B172,rngYear,0),MATCH(OFFSET(C172,-$A172,0),rngColumnNames,0)),"")</f>
      </c>
      <c r="D172" s="11">
        <f>IFERROR(INDEX(rngData,MATCH($B172,rngYear,0),MATCH(OFFSET(D172,-$A172,0),rngColumnNames,0)),"")</f>
      </c>
      <c r="E172" s="11">
        <f>IFERROR(INDEX(rngData,MATCH($B172,rngYear,0),MATCH(OFFSET(E172,-$A172,0),rngColumnNames,0)),"")</f>
      </c>
      <c r="F172" s="11">
        <f t="shared" si="12"/>
      </c>
      <c r="G172" s="11">
        <f>IFERROR(INDEX(rngData,MATCH($B172,rngYear,0),MATCH(OFFSET(G172,-$A172,0),rngColumnNames,0)),"")</f>
      </c>
      <c r="H172" s="11">
        <f>IFERROR(INDEX(rngData,MATCH($B172,rngYear,0),MATCH(OFFSET(H172,-$A172,0),rngColumnNames,0)),"")</f>
      </c>
      <c r="I172" s="11">
        <f>IFERROR(INDEX(rngData,MATCH($B172,rngYear,0),MATCH(OFFSET(I172,-$A172,0),rngColumnNames,0)),"")</f>
      </c>
      <c r="J172" s="11">
        <f t="shared" si="13"/>
      </c>
      <c r="K172" s="15">
        <f>IFERROR(INDEX(rngData,MATCH($B172,rngYear,0),MATCH(OFFSET(K172,-$A172,0),rngColumnNames,0)),"")</f>
      </c>
      <c r="L172" s="15">
        <f>IFERROR(INDEX(rngData,MATCH($B172,rngYear,0),MATCH(OFFSET(L172,-$A172,0),rngColumnNames,0)),"")</f>
      </c>
      <c r="M172" s="15">
        <f>IFERROR(INDEX(rngData,MATCH($B172,rngYear,0),MATCH(OFFSET(M172,-$A172,0),rngColumnNames,0)),"")</f>
      </c>
      <c r="N172" s="15">
        <f t="shared" si="14"/>
      </c>
    </row>
    <row r="173" hidden="1">
      <c r="A173" s="9">
        <f t="shared" si="15"/>
        <v>42</v>
      </c>
      <c r="B173" s="10">
        <f>IF(INDEX(rngYear,A173+1)&lt;&gt;0,INDEX(rngYear,A173+1),"")</f>
      </c>
      <c r="C173" s="11">
        <f>IFERROR(INDEX(rngData,MATCH($B173,rngYear,0),MATCH(OFFSET(C173,-$A173,0),rngColumnNames,0)),"")</f>
      </c>
      <c r="D173" s="11">
        <f>IFERROR(INDEX(rngData,MATCH($B173,rngYear,0),MATCH(OFFSET(D173,-$A173,0),rngColumnNames,0)),"")</f>
      </c>
      <c r="E173" s="11">
        <f>IFERROR(INDEX(rngData,MATCH($B173,rngYear,0),MATCH(OFFSET(E173,-$A173,0),rngColumnNames,0)),"")</f>
      </c>
      <c r="F173" s="11">
        <f t="shared" si="12"/>
      </c>
      <c r="G173" s="11">
        <f>IFERROR(INDEX(rngData,MATCH($B173,rngYear,0),MATCH(OFFSET(G173,-$A173,0),rngColumnNames,0)),"")</f>
      </c>
      <c r="H173" s="11">
        <f>IFERROR(INDEX(rngData,MATCH($B173,rngYear,0),MATCH(OFFSET(H173,-$A173,0),rngColumnNames,0)),"")</f>
      </c>
      <c r="I173" s="11">
        <f>IFERROR(INDEX(rngData,MATCH($B173,rngYear,0),MATCH(OFFSET(I173,-$A173,0),rngColumnNames,0)),"")</f>
      </c>
      <c r="J173" s="11">
        <f t="shared" si="13"/>
      </c>
      <c r="K173" s="15">
        <f>IFERROR(INDEX(rngData,MATCH($B173,rngYear,0),MATCH(OFFSET(K173,-$A173,0),rngColumnNames,0)),"")</f>
      </c>
      <c r="L173" s="15">
        <f>IFERROR(INDEX(rngData,MATCH($B173,rngYear,0),MATCH(OFFSET(L173,-$A173,0),rngColumnNames,0)),"")</f>
      </c>
      <c r="M173" s="15">
        <f>IFERROR(INDEX(rngData,MATCH($B173,rngYear,0),MATCH(OFFSET(M173,-$A173,0),rngColumnNames,0)),"")</f>
      </c>
      <c r="N173" s="15">
        <f t="shared" si="14"/>
      </c>
    </row>
    <row r="174" hidden="1">
      <c r="A174" s="9">
        <f t="shared" si="15"/>
        <v>43</v>
      </c>
      <c r="B174" s="10">
        <f>IF(INDEX(rngYear,A174+1)&lt;&gt;0,INDEX(rngYear,A174+1),"")</f>
      </c>
      <c r="C174" s="11">
        <f>IFERROR(INDEX(rngData,MATCH($B174,rngYear,0),MATCH(OFFSET(C174,-$A174,0),rngColumnNames,0)),"")</f>
      </c>
      <c r="D174" s="11">
        <f>IFERROR(INDEX(rngData,MATCH($B174,rngYear,0),MATCH(OFFSET(D174,-$A174,0),rngColumnNames,0)),"")</f>
      </c>
      <c r="E174" s="11">
        <f>IFERROR(INDEX(rngData,MATCH($B174,rngYear,0),MATCH(OFFSET(E174,-$A174,0),rngColumnNames,0)),"")</f>
      </c>
      <c r="F174" s="11">
        <f t="shared" si="12"/>
      </c>
      <c r="G174" s="11">
        <f>IFERROR(INDEX(rngData,MATCH($B174,rngYear,0),MATCH(OFFSET(G174,-$A174,0),rngColumnNames,0)),"")</f>
      </c>
      <c r="H174" s="11">
        <f>IFERROR(INDEX(rngData,MATCH($B174,rngYear,0),MATCH(OFFSET(H174,-$A174,0),rngColumnNames,0)),"")</f>
      </c>
      <c r="I174" s="11">
        <f>IFERROR(INDEX(rngData,MATCH($B174,rngYear,0),MATCH(OFFSET(I174,-$A174,0),rngColumnNames,0)),"")</f>
      </c>
      <c r="J174" s="11">
        <f t="shared" si="13"/>
      </c>
      <c r="K174" s="15">
        <f>IFERROR(INDEX(rngData,MATCH($B174,rngYear,0),MATCH(OFFSET(K174,-$A174,0),rngColumnNames,0)),"")</f>
      </c>
      <c r="L174" s="15">
        <f>IFERROR(INDEX(rngData,MATCH($B174,rngYear,0),MATCH(OFFSET(L174,-$A174,0),rngColumnNames,0)),"")</f>
      </c>
      <c r="M174" s="15">
        <f>IFERROR(INDEX(rngData,MATCH($B174,rngYear,0),MATCH(OFFSET(M174,-$A174,0),rngColumnNames,0)),"")</f>
      </c>
      <c r="N174" s="15">
        <f t="shared" si="14"/>
      </c>
    </row>
    <row r="175" hidden="1">
      <c r="A175" s="9">
        <f t="shared" si="15"/>
        <v>44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 t="shared" si="12"/>
      </c>
      <c r="G175" s="11">
        <f>IFERROR(INDEX(rngData,MATCH($B175,rngYear,0),MATCH(OFFSET(G175,-$A175,0),rngColumnNames,0)),"")</f>
      </c>
      <c r="H175" s="11">
        <f>IFERROR(INDEX(rngData,MATCH($B175,rngYear,0),MATCH(OFFSET(H175,-$A175,0),rngColumnNames,0)),"")</f>
      </c>
      <c r="I175" s="11">
        <f>IFERROR(INDEX(rngData,MATCH($B175,rngYear,0),MATCH(OFFSET(I175,-$A175,0),rngColumnNames,0)),"")</f>
      </c>
      <c r="J175" s="11">
        <f t="shared" si="13"/>
      </c>
      <c r="K175" s="15">
        <f>IFERROR(INDEX(rngData,MATCH($B175,rngYear,0),MATCH(OFFSET(K175,-$A175,0),rngColumnNames,0)),"")</f>
      </c>
      <c r="L175" s="15">
        <f>IFERROR(INDEX(rngData,MATCH($B175,rngYear,0),MATCH(OFFSET(L175,-$A175,0),rngColumnNames,0)),"")</f>
      </c>
      <c r="M175" s="15">
        <f>IFERROR(INDEX(rngData,MATCH($B175,rngYear,0),MATCH(OFFSET(M175,-$A175,0),rngColumnNames,0)),"")</f>
      </c>
      <c r="N175" s="15">
        <f t="shared" si="14"/>
      </c>
    </row>
    <row r="176" hidden="1">
      <c r="A176" s="9">
        <f t="shared" si="15"/>
        <v>45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 t="shared" si="12"/>
      </c>
      <c r="G176" s="11">
        <f>IFERROR(INDEX(rngData,MATCH($B176,rngYear,0),MATCH(OFFSET(G176,-$A176,0),rngColumnNames,0)),"")</f>
      </c>
      <c r="H176" s="11">
        <f>IFERROR(INDEX(rngData,MATCH($B176,rngYear,0),MATCH(OFFSET(H176,-$A176,0),rngColumnNames,0)),"")</f>
      </c>
      <c r="I176" s="11">
        <f>IFERROR(INDEX(rngData,MATCH($B176,rngYear,0),MATCH(OFFSET(I176,-$A176,0),rngColumnNames,0)),"")</f>
      </c>
      <c r="J176" s="11">
        <f t="shared" si="13"/>
      </c>
      <c r="K176" s="15">
        <f>IFERROR(INDEX(rngData,MATCH($B176,rngYear,0),MATCH(OFFSET(K176,-$A176,0),rngColumnNames,0)),"")</f>
      </c>
      <c r="L176" s="15">
        <f>IFERROR(INDEX(rngData,MATCH($B176,rngYear,0),MATCH(OFFSET(L176,-$A176,0),rngColumnNames,0)),"")</f>
      </c>
      <c r="M176" s="15">
        <f>IFERROR(INDEX(rngData,MATCH($B176,rngYear,0),MATCH(OFFSET(M176,-$A176,0),rngColumnNames,0)),"")</f>
      </c>
      <c r="N176" s="15">
        <f t="shared" si="14"/>
      </c>
    </row>
    <row r="177" hidden="1">
      <c r="A177" s="9">
        <f t="shared" si="15"/>
        <v>46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 t="shared" si="12"/>
      </c>
      <c r="G177" s="11">
        <f>IFERROR(INDEX(rngData,MATCH($B177,rngYear,0),MATCH(OFFSET(G177,-$A177,0),rngColumnNames,0)),"")</f>
      </c>
      <c r="H177" s="11">
        <f>IFERROR(INDEX(rngData,MATCH($B177,rngYear,0),MATCH(OFFSET(H177,-$A177,0),rngColumnNames,0)),"")</f>
      </c>
      <c r="I177" s="11">
        <f>IFERROR(INDEX(rngData,MATCH($B177,rngYear,0),MATCH(OFFSET(I177,-$A177,0),rngColumnNames,0)),"")</f>
      </c>
      <c r="J177" s="11">
        <f t="shared" si="13"/>
      </c>
      <c r="K177" s="15">
        <f>IFERROR(INDEX(rngData,MATCH($B177,rngYear,0),MATCH(OFFSET(K177,-$A177,0),rngColumnNames,0)),"")</f>
      </c>
      <c r="L177" s="15">
        <f>IFERROR(INDEX(rngData,MATCH($B177,rngYear,0),MATCH(OFFSET(L177,-$A177,0),rngColumnNames,0)),"")</f>
      </c>
      <c r="M177" s="15">
        <f>IFERROR(INDEX(rngData,MATCH($B177,rngYear,0),MATCH(OFFSET(M177,-$A177,0),rngColumnNames,0)),"")</f>
      </c>
      <c r="N177" s="15">
        <f t="shared" si="14"/>
      </c>
    </row>
    <row r="178" hidden="1">
      <c r="A178" s="9">
        <f t="shared" si="15"/>
        <v>47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 t="shared" si="12"/>
      </c>
      <c r="G178" s="11">
        <f>IFERROR(INDEX(rngData,MATCH($B178,rngYear,0),MATCH(OFFSET(G178,-$A178,0),rngColumnNames,0)),"")</f>
      </c>
      <c r="H178" s="11">
        <f>IFERROR(INDEX(rngData,MATCH($B178,rngYear,0),MATCH(OFFSET(H178,-$A178,0),rngColumnNames,0)),"")</f>
      </c>
      <c r="I178" s="11">
        <f>IFERROR(INDEX(rngData,MATCH($B178,rngYear,0),MATCH(OFFSET(I178,-$A178,0),rngColumnNames,0)),"")</f>
      </c>
      <c r="J178" s="11">
        <f t="shared" si="13"/>
      </c>
      <c r="K178" s="15">
        <f>IFERROR(INDEX(rngData,MATCH($B178,rngYear,0),MATCH(OFFSET(K178,-$A178,0),rngColumnNames,0)),"")</f>
      </c>
      <c r="L178" s="15">
        <f>IFERROR(INDEX(rngData,MATCH($B178,rngYear,0),MATCH(OFFSET(L178,-$A178,0),rngColumnNames,0)),"")</f>
      </c>
      <c r="M178" s="15">
        <f>IFERROR(INDEX(rngData,MATCH($B178,rngYear,0),MATCH(OFFSET(M178,-$A178,0),rngColumnNames,0)),"")</f>
      </c>
      <c r="N178" s="15">
        <f t="shared" si="14"/>
      </c>
    </row>
    <row r="179" hidden="1">
      <c r="A179" s="9">
        <f t="shared" si="15"/>
        <v>48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 t="shared" si="12"/>
      </c>
      <c r="G179" s="11">
        <f>IFERROR(INDEX(rngData,MATCH($B179,rngYear,0),MATCH(OFFSET(G179,-$A179,0),rngColumnNames,0)),"")</f>
      </c>
      <c r="H179" s="11">
        <f>IFERROR(INDEX(rngData,MATCH($B179,rngYear,0),MATCH(OFFSET(H179,-$A179,0),rngColumnNames,0)),"")</f>
      </c>
      <c r="I179" s="11">
        <f>IFERROR(INDEX(rngData,MATCH($B179,rngYear,0),MATCH(OFFSET(I179,-$A179,0),rngColumnNames,0)),"")</f>
      </c>
      <c r="J179" s="11">
        <f t="shared" si="13"/>
      </c>
      <c r="K179" s="15">
        <f>IFERROR(INDEX(rngData,MATCH($B179,rngYear,0),MATCH(OFFSET(K179,-$A179,0),rngColumnNames,0)),"")</f>
      </c>
      <c r="L179" s="15">
        <f>IFERROR(INDEX(rngData,MATCH($B179,rngYear,0),MATCH(OFFSET(L179,-$A179,0),rngColumnNames,0)),"")</f>
      </c>
      <c r="M179" s="15">
        <f>IFERROR(INDEX(rngData,MATCH($B179,rngYear,0),MATCH(OFFSET(M179,-$A179,0),rngColumnNames,0)),"")</f>
      </c>
      <c r="N179" s="15">
        <f t="shared" si="14"/>
      </c>
    </row>
    <row r="180" hidden="1">
      <c r="A180" s="9">
        <f t="shared" si="15"/>
        <v>49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 t="shared" si="12"/>
      </c>
      <c r="G180" s="11">
        <f>IFERROR(INDEX(rngData,MATCH($B180,rngYear,0),MATCH(OFFSET(G180,-$A180,0),rngColumnNames,0)),"")</f>
      </c>
      <c r="H180" s="11">
        <f>IFERROR(INDEX(rngData,MATCH($B180,rngYear,0),MATCH(OFFSET(H180,-$A180,0),rngColumnNames,0)),"")</f>
      </c>
      <c r="I180" s="11">
        <f>IFERROR(INDEX(rngData,MATCH($B180,rngYear,0),MATCH(OFFSET(I180,-$A180,0),rngColumnNames,0)),"")</f>
      </c>
      <c r="J180" s="11">
        <f t="shared" si="13"/>
      </c>
      <c r="K180" s="15">
        <f>IFERROR(INDEX(rngData,MATCH($B180,rngYear,0),MATCH(OFFSET(K180,-$A180,0),rngColumnNames,0)),"")</f>
      </c>
      <c r="L180" s="15">
        <f>IFERROR(INDEX(rngData,MATCH($B180,rngYear,0),MATCH(OFFSET(L180,-$A180,0),rngColumnNames,0)),"")</f>
      </c>
      <c r="M180" s="15">
        <f>IFERROR(INDEX(rngData,MATCH($B180,rngYear,0),MATCH(OFFSET(M180,-$A180,0),rngColumnNames,0)),"")</f>
      </c>
      <c r="N180" s="15">
        <f t="shared" si="14"/>
      </c>
    </row>
    <row r="181" hidden="1">
      <c r="A181" s="9">
        <f t="shared" si="15"/>
        <v>50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 t="shared" si="12"/>
      </c>
      <c r="G181" s="11">
        <f>IFERROR(INDEX(rngData,MATCH($B181,rngYear,0),MATCH(OFFSET(G181,-$A181,0),rngColumnNames,0)),"")</f>
      </c>
      <c r="H181" s="11">
        <f>IFERROR(INDEX(rngData,MATCH($B181,rngYear,0),MATCH(OFFSET(H181,-$A181,0),rngColumnNames,0)),"")</f>
      </c>
      <c r="I181" s="11">
        <f>IFERROR(INDEX(rngData,MATCH($B181,rngYear,0),MATCH(OFFSET(I181,-$A181,0),rngColumnNames,0)),"")</f>
      </c>
      <c r="J181" s="11">
        <f t="shared" si="13"/>
      </c>
      <c r="K181" s="15">
        <f>IFERROR(INDEX(rngData,MATCH($B181,rngYear,0),MATCH(OFFSET(K181,-$A181,0),rngColumnNames,0)),"")</f>
      </c>
      <c r="L181" s="15">
        <f>IFERROR(INDEX(rngData,MATCH($B181,rngYear,0),MATCH(OFFSET(L181,-$A181,0),rngColumnNames,0)),"")</f>
      </c>
      <c r="M181" s="15">
        <f>IFERROR(INDEX(rngData,MATCH($B181,rngYear,0),MATCH(OFFSET(M181,-$A181,0),rngColumnNames,0)),"")</f>
      </c>
      <c r="N181" s="15">
        <f t="shared" si="14"/>
      </c>
    </row>
    <row r="182" hidden="1">
      <c r="A182" s="9">
        <f t="shared" si="15"/>
        <v>51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 t="shared" si="12"/>
      </c>
      <c r="G182" s="11">
        <f>IFERROR(INDEX(rngData,MATCH($B182,rngYear,0),MATCH(OFFSET(G182,-$A182,0),rngColumnNames,0)),"")</f>
      </c>
      <c r="H182" s="11">
        <f>IFERROR(INDEX(rngData,MATCH($B182,rngYear,0),MATCH(OFFSET(H182,-$A182,0),rngColumnNames,0)),"")</f>
      </c>
      <c r="I182" s="11">
        <f>IFERROR(INDEX(rngData,MATCH($B182,rngYear,0),MATCH(OFFSET(I182,-$A182,0),rngColumnNames,0)),"")</f>
      </c>
      <c r="J182" s="11">
        <f t="shared" si="13"/>
      </c>
      <c r="K182" s="15">
        <f>IFERROR(INDEX(rngData,MATCH($B182,rngYear,0),MATCH(OFFSET(K182,-$A182,0),rngColumnNames,0)),"")</f>
      </c>
      <c r="L182" s="15">
        <f>IFERROR(INDEX(rngData,MATCH($B182,rngYear,0),MATCH(OFFSET(L182,-$A182,0),rngColumnNames,0)),"")</f>
      </c>
      <c r="M182" s="15">
        <f>IFERROR(INDEX(rngData,MATCH($B182,rngYear,0),MATCH(OFFSET(M182,-$A182,0),rngColumnNames,0)),"")</f>
      </c>
      <c r="N182" s="15">
        <f t="shared" si="14"/>
      </c>
    </row>
    <row r="183" hidden="1">
      <c r="A183" s="9">
        <f t="shared" si="15"/>
        <v>52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 t="shared" si="12"/>
      </c>
      <c r="G183" s="11">
        <f>IFERROR(INDEX(rngData,MATCH($B183,rngYear,0),MATCH(OFFSET(G183,-$A183,0),rngColumnNames,0)),"")</f>
      </c>
      <c r="H183" s="11">
        <f>IFERROR(INDEX(rngData,MATCH($B183,rngYear,0),MATCH(OFFSET(H183,-$A183,0),rngColumnNames,0)),"")</f>
      </c>
      <c r="I183" s="11">
        <f>IFERROR(INDEX(rngData,MATCH($B183,rngYear,0),MATCH(OFFSET(I183,-$A183,0),rngColumnNames,0)),"")</f>
      </c>
      <c r="J183" s="11">
        <f t="shared" si="13"/>
      </c>
      <c r="K183" s="15">
        <f>IFERROR(INDEX(rngData,MATCH($B183,rngYear,0),MATCH(OFFSET(K183,-$A183,0),rngColumnNames,0)),"")</f>
      </c>
      <c r="L183" s="15">
        <f>IFERROR(INDEX(rngData,MATCH($B183,rngYear,0),MATCH(OFFSET(L183,-$A183,0),rngColumnNames,0)),"")</f>
      </c>
      <c r="M183" s="15">
        <f>IFERROR(INDEX(rngData,MATCH($B183,rngYear,0),MATCH(OFFSET(M183,-$A183,0),rngColumnNames,0)),"")</f>
      </c>
      <c r="N183" s="15">
        <f t="shared" si="14"/>
      </c>
    </row>
    <row r="184" hidden="1">
      <c r="A184" s="9">
        <f t="shared" si="15"/>
        <v>53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 t="shared" si="12"/>
      </c>
      <c r="G184" s="11">
        <f>IFERROR(INDEX(rngData,MATCH($B184,rngYear,0),MATCH(OFFSET(G184,-$A184,0),rngColumnNames,0)),"")</f>
      </c>
      <c r="H184" s="11">
        <f>IFERROR(INDEX(rngData,MATCH($B184,rngYear,0),MATCH(OFFSET(H184,-$A184,0),rngColumnNames,0)),"")</f>
      </c>
      <c r="I184" s="11">
        <f>IFERROR(INDEX(rngData,MATCH($B184,rngYear,0),MATCH(OFFSET(I184,-$A184,0),rngColumnNames,0)),"")</f>
      </c>
      <c r="J184" s="11">
        <f t="shared" si="13"/>
      </c>
      <c r="K184" s="15">
        <f>IFERROR(INDEX(rngData,MATCH($B184,rngYear,0),MATCH(OFFSET(K184,-$A184,0),rngColumnNames,0)),"")</f>
      </c>
      <c r="L184" s="15">
        <f>IFERROR(INDEX(rngData,MATCH($B184,rngYear,0),MATCH(OFFSET(L184,-$A184,0),rngColumnNames,0)),"")</f>
      </c>
      <c r="M184" s="15">
        <f>IFERROR(INDEX(rngData,MATCH($B184,rngYear,0),MATCH(OFFSET(M184,-$A184,0),rngColumnNames,0)),"")</f>
      </c>
      <c r="N184" s="15">
        <f t="shared" si="14"/>
      </c>
    </row>
    <row r="185" hidden="1">
      <c r="A185" s="9">
        <f t="shared" si="15"/>
        <v>54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 t="shared" si="12"/>
      </c>
      <c r="G185" s="11">
        <f>IFERROR(INDEX(rngData,MATCH($B185,rngYear,0),MATCH(OFFSET(G185,-$A185,0),rngColumnNames,0)),"")</f>
      </c>
      <c r="H185" s="11">
        <f>IFERROR(INDEX(rngData,MATCH($B185,rngYear,0),MATCH(OFFSET(H185,-$A185,0),rngColumnNames,0)),"")</f>
      </c>
      <c r="I185" s="11">
        <f>IFERROR(INDEX(rngData,MATCH($B185,rngYear,0),MATCH(OFFSET(I185,-$A185,0),rngColumnNames,0)),"")</f>
      </c>
      <c r="J185" s="11">
        <f t="shared" si="13"/>
      </c>
      <c r="K185" s="15">
        <f>IFERROR(INDEX(rngData,MATCH($B185,rngYear,0),MATCH(OFFSET(K185,-$A185,0),rngColumnNames,0)),"")</f>
      </c>
      <c r="L185" s="15">
        <f>IFERROR(INDEX(rngData,MATCH($B185,rngYear,0),MATCH(OFFSET(L185,-$A185,0),rngColumnNames,0)),"")</f>
      </c>
      <c r="M185" s="15">
        <f>IFERROR(INDEX(rngData,MATCH($B185,rngYear,0),MATCH(OFFSET(M185,-$A185,0),rngColumnNames,0)),"")</f>
      </c>
      <c r="N185" s="15">
        <f t="shared" si="14"/>
      </c>
    </row>
    <row r="186" hidden="1">
      <c r="A186" s="9">
        <f t="shared" si="15"/>
        <v>55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 t="shared" si="12"/>
      </c>
      <c r="G186" s="11">
        <f>IFERROR(INDEX(rngData,MATCH($B186,rngYear,0),MATCH(OFFSET(G186,-$A186,0),rngColumnNames,0)),"")</f>
      </c>
      <c r="H186" s="11">
        <f>IFERROR(INDEX(rngData,MATCH($B186,rngYear,0),MATCH(OFFSET(H186,-$A186,0),rngColumnNames,0)),"")</f>
      </c>
      <c r="I186" s="11">
        <f>IFERROR(INDEX(rngData,MATCH($B186,rngYear,0),MATCH(OFFSET(I186,-$A186,0),rngColumnNames,0)),"")</f>
      </c>
      <c r="J186" s="11">
        <f t="shared" si="13"/>
      </c>
      <c r="K186" s="15">
        <f>IFERROR(INDEX(rngData,MATCH($B186,rngYear,0),MATCH(OFFSET(K186,-$A186,0),rngColumnNames,0)),"")</f>
      </c>
      <c r="L186" s="15">
        <f>IFERROR(INDEX(rngData,MATCH($B186,rngYear,0),MATCH(OFFSET(L186,-$A186,0),rngColumnNames,0)),"")</f>
      </c>
      <c r="M186" s="15">
        <f>IFERROR(INDEX(rngData,MATCH($B186,rngYear,0),MATCH(OFFSET(M186,-$A186,0),rngColumnNames,0)),"")</f>
      </c>
      <c r="N186" s="15">
        <f t="shared" si="14"/>
      </c>
    </row>
    <row r="187" hidden="1">
      <c r="A187" s="9">
        <f t="shared" si="15"/>
        <v>56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 t="shared" si="12"/>
      </c>
      <c r="G187" s="11">
        <f>IFERROR(INDEX(rngData,MATCH($B187,rngYear,0),MATCH(OFFSET(G187,-$A187,0),rngColumnNames,0)),"")</f>
      </c>
      <c r="H187" s="11">
        <f>IFERROR(INDEX(rngData,MATCH($B187,rngYear,0),MATCH(OFFSET(H187,-$A187,0),rngColumnNames,0)),"")</f>
      </c>
      <c r="I187" s="11">
        <f>IFERROR(INDEX(rngData,MATCH($B187,rngYear,0),MATCH(OFFSET(I187,-$A187,0),rngColumnNames,0)),"")</f>
      </c>
      <c r="J187" s="11">
        <f t="shared" si="13"/>
      </c>
      <c r="K187" s="15">
        <f>IFERROR(INDEX(rngData,MATCH($B187,rngYear,0),MATCH(OFFSET(K187,-$A187,0),rngColumnNames,0)),"")</f>
      </c>
      <c r="L187" s="15">
        <f>IFERROR(INDEX(rngData,MATCH($B187,rngYear,0),MATCH(OFFSET(L187,-$A187,0),rngColumnNames,0)),"")</f>
      </c>
      <c r="M187" s="15">
        <f>IFERROR(INDEX(rngData,MATCH($B187,rngYear,0),MATCH(OFFSET(M187,-$A187,0),rngColumnNames,0)),"")</f>
      </c>
      <c r="N187" s="15">
        <f t="shared" si="14"/>
      </c>
    </row>
    <row r="188" hidden="1">
      <c r="A188" s="9">
        <f t="shared" si="15"/>
        <v>57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 t="shared" si="12"/>
      </c>
      <c r="G188" s="11">
        <f>IFERROR(INDEX(rngData,MATCH($B188,rngYear,0),MATCH(OFFSET(G188,-$A188,0),rngColumnNames,0)),"")</f>
      </c>
      <c r="H188" s="11">
        <f>IFERROR(INDEX(rngData,MATCH($B188,rngYear,0),MATCH(OFFSET(H188,-$A188,0),rngColumnNames,0)),"")</f>
      </c>
      <c r="I188" s="11">
        <f>IFERROR(INDEX(rngData,MATCH($B188,rngYear,0),MATCH(OFFSET(I188,-$A188,0),rngColumnNames,0)),"")</f>
      </c>
      <c r="J188" s="11">
        <f t="shared" si="13"/>
      </c>
      <c r="K188" s="15">
        <f>IFERROR(INDEX(rngData,MATCH($B188,rngYear,0),MATCH(OFFSET(K188,-$A188,0),rngColumnNames,0)),"")</f>
      </c>
      <c r="L188" s="15">
        <f>IFERROR(INDEX(rngData,MATCH($B188,rngYear,0),MATCH(OFFSET(L188,-$A188,0),rngColumnNames,0)),"")</f>
      </c>
      <c r="M188" s="15">
        <f>IFERROR(INDEX(rngData,MATCH($B188,rngYear,0),MATCH(OFFSET(M188,-$A188,0),rngColumnNames,0)),"")</f>
      </c>
      <c r="N188" s="15">
        <f t="shared" si="14"/>
      </c>
    </row>
    <row r="189" hidden="1">
      <c r="A189" s="9">
        <f t="shared" si="15"/>
        <v>58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 t="shared" si="12"/>
      </c>
      <c r="G189" s="11">
        <f>IFERROR(INDEX(rngData,MATCH($B189,rngYear,0),MATCH(OFFSET(G189,-$A189,0),rngColumnNames,0)),"")</f>
      </c>
      <c r="H189" s="11">
        <f>IFERROR(INDEX(rngData,MATCH($B189,rngYear,0),MATCH(OFFSET(H189,-$A189,0),rngColumnNames,0)),"")</f>
      </c>
      <c r="I189" s="11">
        <f>IFERROR(INDEX(rngData,MATCH($B189,rngYear,0),MATCH(OFFSET(I189,-$A189,0),rngColumnNames,0)),"")</f>
      </c>
      <c r="J189" s="11">
        <f t="shared" si="13"/>
      </c>
      <c r="K189" s="15">
        <f>IFERROR(INDEX(rngData,MATCH($B189,rngYear,0),MATCH(OFFSET(K189,-$A189,0),rngColumnNames,0)),"")</f>
      </c>
      <c r="L189" s="15">
        <f>IFERROR(INDEX(rngData,MATCH($B189,rngYear,0),MATCH(OFFSET(L189,-$A189,0),rngColumnNames,0)),"")</f>
      </c>
      <c r="M189" s="15">
        <f>IFERROR(INDEX(rngData,MATCH($B189,rngYear,0),MATCH(OFFSET(M189,-$A189,0),rngColumnNames,0)),"")</f>
      </c>
      <c r="N189" s="15">
        <f t="shared" si="14"/>
      </c>
    </row>
    <row r="190" hidden="1">
      <c r="A190" s="9">
        <f t="shared" si="15"/>
        <v>59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 t="shared" si="12"/>
      </c>
      <c r="G190" s="11">
        <f>IFERROR(INDEX(rngData,MATCH($B190,rngYear,0),MATCH(OFFSET(G190,-$A190,0),rngColumnNames,0)),"")</f>
      </c>
      <c r="H190" s="11">
        <f>IFERROR(INDEX(rngData,MATCH($B190,rngYear,0),MATCH(OFFSET(H190,-$A190,0),rngColumnNames,0)),"")</f>
      </c>
      <c r="I190" s="11">
        <f>IFERROR(INDEX(rngData,MATCH($B190,rngYear,0),MATCH(OFFSET(I190,-$A190,0),rngColumnNames,0)),"")</f>
      </c>
      <c r="J190" s="11">
        <f t="shared" si="13"/>
      </c>
      <c r="K190" s="15">
        <f>IFERROR(INDEX(rngData,MATCH($B190,rngYear,0),MATCH(OFFSET(K190,-$A190,0),rngColumnNames,0)),"")</f>
      </c>
      <c r="L190" s="15">
        <f>IFERROR(INDEX(rngData,MATCH($B190,rngYear,0),MATCH(OFFSET(L190,-$A190,0),rngColumnNames,0)),"")</f>
      </c>
      <c r="M190" s="15">
        <f>IFERROR(INDEX(rngData,MATCH($B190,rngYear,0),MATCH(OFFSET(M190,-$A190,0),rngColumnNames,0)),"")</f>
      </c>
      <c r="N190" s="15">
        <f t="shared" si="14"/>
      </c>
    </row>
    <row r="191" hidden="1">
      <c r="A191" s="9">
        <f t="shared" si="15"/>
        <v>60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 t="shared" si="12"/>
      </c>
      <c r="G191" s="11">
        <f>IFERROR(INDEX(rngData,MATCH($B191,rngYear,0),MATCH(OFFSET(G191,-$A191,0),rngColumnNames,0)),"")</f>
      </c>
      <c r="H191" s="11">
        <f>IFERROR(INDEX(rngData,MATCH($B191,rngYear,0),MATCH(OFFSET(H191,-$A191,0),rngColumnNames,0)),"")</f>
      </c>
      <c r="I191" s="11">
        <f>IFERROR(INDEX(rngData,MATCH($B191,rngYear,0),MATCH(OFFSET(I191,-$A191,0),rngColumnNames,0)),"")</f>
      </c>
      <c r="J191" s="11">
        <f t="shared" si="13"/>
      </c>
      <c r="K191" s="15">
        <f>IFERROR(INDEX(rngData,MATCH($B191,rngYear,0),MATCH(OFFSET(K191,-$A191,0),rngColumnNames,0)),"")</f>
      </c>
      <c r="L191" s="15">
        <f>IFERROR(INDEX(rngData,MATCH($B191,rngYear,0),MATCH(OFFSET(L191,-$A191,0),rngColumnNames,0)),"")</f>
      </c>
      <c r="M191" s="15">
        <f>IFERROR(INDEX(rngData,MATCH($B191,rngYear,0),MATCH(OFFSET(M191,-$A191,0),rngColumnNames,0)),"")</f>
      </c>
      <c r="N191" s="15">
        <f t="shared" si="14"/>
      </c>
    </row>
    <row r="193" ht="19.5" customHeight="1">
      <c r="A193" s="16" t="s">
        <v>93</v>
      </c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</row>
    <row r="194" ht="15" customHeight="1">
      <c r="B194" s="4"/>
      <c r="C194" s="5" t="s">
        <v>81</v>
      </c>
      <c r="D194" s="17" t="s">
        <v>82</v>
      </c>
      <c r="E194" s="18"/>
      <c r="F194" s="19"/>
    </row>
    <row r="195" ht="22.5" customHeight="1">
      <c r="A195" s="6" t="s">
        <v>83</v>
      </c>
      <c r="B195" s="7" t="s">
        <v>4</v>
      </c>
      <c r="C195" s="7" t="s">
        <v>28</v>
      </c>
      <c r="D195" s="7" t="s">
        <v>54</v>
      </c>
      <c r="E195" s="7" t="s">
        <v>55</v>
      </c>
      <c r="F195" s="8" t="s">
        <v>82</v>
      </c>
    </row>
    <row r="196">
      <c r="A196" s="9">
        <v>1</v>
      </c>
      <c r="B196" s="10">
        <f>IF(INDEX(rngYear,A196+1)&lt;&gt;0,INDEX(rngYear,A196+1),"")</f>
        <v>1980</v>
      </c>
      <c r="C196" s="11">
        <f>IFERROR(INDEX(rngData,MATCH($B196,rngYear,0),MATCH(OFFSET(C196,-$A196,0),rngColumnNames,0)),"")</f>
        <v>0</v>
      </c>
      <c r="D196" s="11">
        <f>IFERROR(INDEX(rngData,MATCH($B196,rngYear,0),MATCH(OFFSET(D196,-$A196,0),rngColumnNames,0)),"")</f>
        <v>0</v>
      </c>
      <c r="E196" s="11">
        <f>IFERROR(INDEX(rngData,MATCH($B196,rngYear,0),MATCH(OFFSET(E196,-$A196,0),rngColumnNames,0)),"")</f>
        <v>0</v>
      </c>
      <c r="F196" s="11">
        <f ref="F196:F227" t="shared" si="16">IFERROR(E196-D196,"")</f>
        <v>0</v>
      </c>
    </row>
    <row r="197">
      <c r="A197" s="9">
        <f ref="A197:A228" t="shared" si="17">A196+1</f>
        <v>2</v>
      </c>
      <c r="B197" s="10">
        <f>IF(INDEX(rngYear,A197+1)&lt;&gt;0,INDEX(rngYear,A197+1),"")</f>
        <v>1981</v>
      </c>
      <c r="C197" s="11">
        <f>IFERROR(INDEX(rngData,MATCH($B197,rngYear,0),MATCH(OFFSET(C197,-$A197,0),rngColumnNames,0)),"")</f>
        <v>0</v>
      </c>
      <c r="D197" s="11">
        <f>IFERROR(INDEX(rngData,MATCH($B197,rngYear,0),MATCH(OFFSET(D197,-$A197,0),rngColumnNames,0)),"")</f>
        <v>0</v>
      </c>
      <c r="E197" s="11">
        <f>IFERROR(INDEX(rngData,MATCH($B197,rngYear,0),MATCH(OFFSET(E197,-$A197,0),rngColumnNames,0)),"")</f>
        <v>0</v>
      </c>
      <c r="F197" s="11">
        <f t="shared" si="16"/>
        <v>0</v>
      </c>
    </row>
    <row r="198">
      <c r="A198" s="9">
        <f t="shared" si="17"/>
        <v>3</v>
      </c>
      <c r="B198" s="10">
        <f>IF(INDEX(rngYear,A198+1)&lt;&gt;0,INDEX(rngYear,A198+1),"")</f>
        <v>1982</v>
      </c>
      <c r="C198" s="11">
        <f>IFERROR(INDEX(rngData,MATCH($B198,rngYear,0),MATCH(OFFSET(C198,-$A198,0),rngColumnNames,0)),"")</f>
        <v>0</v>
      </c>
      <c r="D198" s="11">
        <f>IFERROR(INDEX(rngData,MATCH($B198,rngYear,0),MATCH(OFFSET(D198,-$A198,0),rngColumnNames,0)),"")</f>
        <v>0</v>
      </c>
      <c r="E198" s="11">
        <f>IFERROR(INDEX(rngData,MATCH($B198,rngYear,0),MATCH(OFFSET(E198,-$A198,0),rngColumnNames,0)),"")</f>
        <v>0</v>
      </c>
      <c r="F198" s="11">
        <f t="shared" si="16"/>
        <v>0</v>
      </c>
    </row>
    <row r="199">
      <c r="A199" s="9">
        <f t="shared" si="17"/>
        <v>4</v>
      </c>
      <c r="B199" s="10">
        <f>IF(INDEX(rngYear,A199+1)&lt;&gt;0,INDEX(rngYear,A199+1),"")</f>
        <v>1983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 t="shared" si="16"/>
        <v>0</v>
      </c>
    </row>
    <row r="200">
      <c r="A200" s="9">
        <f t="shared" si="17"/>
        <v>5</v>
      </c>
      <c r="B200" s="10">
        <f>IF(INDEX(rngYear,A200+1)&lt;&gt;0,INDEX(rngYear,A200+1),"")</f>
        <v>1984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 t="shared" si="16"/>
        <v>0</v>
      </c>
    </row>
    <row r="201">
      <c r="A201" s="9">
        <f t="shared" si="17"/>
        <v>6</v>
      </c>
      <c r="B201" s="10">
        <f>IF(INDEX(rngYear,A201+1)&lt;&gt;0,INDEX(rngYear,A201+1),"")</f>
        <v>1985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 t="shared" si="16"/>
        <v>0</v>
      </c>
    </row>
    <row r="202">
      <c r="A202" s="9">
        <f t="shared" si="17"/>
        <v>7</v>
      </c>
      <c r="B202" s="10">
        <f>IF(INDEX(rngYear,A202+1)&lt;&gt;0,INDEX(rngYear,A202+1),"")</f>
        <v>1986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 t="shared" si="16"/>
        <v>0</v>
      </c>
    </row>
    <row r="203">
      <c r="A203" s="9">
        <f t="shared" si="17"/>
        <v>8</v>
      </c>
      <c r="B203" s="10">
        <f>IF(INDEX(rngYear,A203+1)&lt;&gt;0,INDEX(rngYear,A203+1),"")</f>
        <v>1987</v>
      </c>
      <c r="C203" s="11">
        <f>IFERROR(INDEX(rngData,MATCH($B203,rngYear,0),MATCH(OFFSET(C203,-$A203,0),rngColumnNames,0)),"")</f>
        <v>0</v>
      </c>
      <c r="D203" s="11">
        <f>IFERROR(INDEX(rngData,MATCH($B203,rngYear,0),MATCH(OFFSET(D203,-$A203,0),rngColumnNames,0)),"")</f>
        <v>0</v>
      </c>
      <c r="E203" s="11">
        <f>IFERROR(INDEX(rngData,MATCH($B203,rngYear,0),MATCH(OFFSET(E203,-$A203,0),rngColumnNames,0)),"")</f>
        <v>0</v>
      </c>
      <c r="F203" s="11">
        <f t="shared" si="16"/>
        <v>0</v>
      </c>
    </row>
    <row r="204">
      <c r="A204" s="9">
        <f t="shared" si="17"/>
        <v>9</v>
      </c>
      <c r="B204" s="10">
        <f>IF(INDEX(rngYear,A204+1)&lt;&gt;0,INDEX(rngYear,A204+1),"")</f>
        <v>1988</v>
      </c>
      <c r="C204" s="11">
        <f>IFERROR(INDEX(rngData,MATCH($B204,rngYear,0),MATCH(OFFSET(C204,-$A204,0),rngColumnNames,0)),"")</f>
        <v>0</v>
      </c>
      <c r="D204" s="11">
        <f>IFERROR(INDEX(rngData,MATCH($B204,rngYear,0),MATCH(OFFSET(D204,-$A204,0),rngColumnNames,0)),"")</f>
        <v>0</v>
      </c>
      <c r="E204" s="11">
        <f>IFERROR(INDEX(rngData,MATCH($B204,rngYear,0),MATCH(OFFSET(E204,-$A204,0),rngColumnNames,0)),"")</f>
        <v>0</v>
      </c>
      <c r="F204" s="11">
        <f t="shared" si="16"/>
        <v>0</v>
      </c>
    </row>
    <row r="205">
      <c r="A205" s="9">
        <f t="shared" si="17"/>
        <v>10</v>
      </c>
      <c r="B205" s="10">
        <f>IF(INDEX(rngYear,A205+1)&lt;&gt;0,INDEX(rngYear,A205+1),"")</f>
        <v>1989</v>
      </c>
      <c r="C205" s="11">
        <f>IFERROR(INDEX(rngData,MATCH($B205,rngYear,0),MATCH(OFFSET(C205,-$A205,0),rngColumnNames,0)),"")</f>
        <v>0</v>
      </c>
      <c r="D205" s="11">
        <f>IFERROR(INDEX(rngData,MATCH($B205,rngYear,0),MATCH(OFFSET(D205,-$A205,0),rngColumnNames,0)),"")</f>
        <v>0</v>
      </c>
      <c r="E205" s="11">
        <f>IFERROR(INDEX(rngData,MATCH($B205,rngYear,0),MATCH(OFFSET(E205,-$A205,0),rngColumnNames,0)),"")</f>
        <v>0</v>
      </c>
      <c r="F205" s="11">
        <f t="shared" si="16"/>
        <v>0</v>
      </c>
    </row>
    <row r="206">
      <c r="A206" s="9">
        <f t="shared" si="17"/>
        <v>11</v>
      </c>
      <c r="B206" s="10">
        <f>IF(INDEX(rngYear,A206+1)&lt;&gt;0,INDEX(rngYear,A206+1),"")</f>
        <v>1990</v>
      </c>
      <c r="C206" s="11">
        <f>IFERROR(INDEX(rngData,MATCH($B206,rngYear,0),MATCH(OFFSET(C206,-$A206,0),rngColumnNames,0)),"")</f>
        <v>0</v>
      </c>
      <c r="D206" s="11">
        <f>IFERROR(INDEX(rngData,MATCH($B206,rngYear,0),MATCH(OFFSET(D206,-$A206,0),rngColumnNames,0)),"")</f>
        <v>0</v>
      </c>
      <c r="E206" s="11">
        <f>IFERROR(INDEX(rngData,MATCH($B206,rngYear,0),MATCH(OFFSET(E206,-$A206,0),rngColumnNames,0)),"")</f>
        <v>0</v>
      </c>
      <c r="F206" s="11">
        <f t="shared" si="16"/>
        <v>0</v>
      </c>
    </row>
    <row r="207">
      <c r="A207" s="9">
        <f t="shared" si="17"/>
        <v>12</v>
      </c>
      <c r="B207" s="10">
        <f>IF(INDEX(rngYear,A207+1)&lt;&gt;0,INDEX(rngYear,A207+1),"")</f>
        <v>1991</v>
      </c>
      <c r="C207" s="11">
        <f>IFERROR(INDEX(rngData,MATCH($B207,rngYear,0),MATCH(OFFSET(C207,-$A207,0),rngColumnNames,0)),"")</f>
        <v>0</v>
      </c>
      <c r="D207" s="11">
        <f>IFERROR(INDEX(rngData,MATCH($B207,rngYear,0),MATCH(OFFSET(D207,-$A207,0),rngColumnNames,0)),"")</f>
        <v>0</v>
      </c>
      <c r="E207" s="11">
        <f>IFERROR(INDEX(rngData,MATCH($B207,rngYear,0),MATCH(OFFSET(E207,-$A207,0),rngColumnNames,0)),"")</f>
        <v>0</v>
      </c>
      <c r="F207" s="11">
        <f t="shared" si="16"/>
        <v>0</v>
      </c>
    </row>
    <row r="208">
      <c r="A208" s="9">
        <f t="shared" si="17"/>
        <v>13</v>
      </c>
      <c r="B208" s="10">
        <f>IF(INDEX(rngYear,A208+1)&lt;&gt;0,INDEX(rngYear,A208+1),"")</f>
        <v>1992</v>
      </c>
      <c r="C208" s="11">
        <f>IFERROR(INDEX(rngData,MATCH($B208,rngYear,0),MATCH(OFFSET(C208,-$A208,0),rngColumnNames,0)),"")</f>
        <v>0</v>
      </c>
      <c r="D208" s="11">
        <f>IFERROR(INDEX(rngData,MATCH($B208,rngYear,0),MATCH(OFFSET(D208,-$A208,0),rngColumnNames,0)),"")</f>
        <v>0</v>
      </c>
      <c r="E208" s="11">
        <f>IFERROR(INDEX(rngData,MATCH($B208,rngYear,0),MATCH(OFFSET(E208,-$A208,0),rngColumnNames,0)),"")</f>
        <v>0</v>
      </c>
      <c r="F208" s="11">
        <f t="shared" si="16"/>
        <v>0</v>
      </c>
    </row>
    <row r="209">
      <c r="A209" s="9">
        <f t="shared" si="17"/>
        <v>14</v>
      </c>
      <c r="B209" s="10">
        <f>IF(INDEX(rngYear,A209+1)&lt;&gt;0,INDEX(rngYear,A209+1),"")</f>
        <v>1993</v>
      </c>
      <c r="C209" s="11">
        <f>IFERROR(INDEX(rngData,MATCH($B209,rngYear,0),MATCH(OFFSET(C209,-$A209,0),rngColumnNames,0)),"")</f>
        <v>0</v>
      </c>
      <c r="D209" s="11">
        <f>IFERROR(INDEX(rngData,MATCH($B209,rngYear,0),MATCH(OFFSET(D209,-$A209,0),rngColumnNames,0)),"")</f>
        <v>0</v>
      </c>
      <c r="E209" s="11">
        <f>IFERROR(INDEX(rngData,MATCH($B209,rngYear,0),MATCH(OFFSET(E209,-$A209,0),rngColumnNames,0)),"")</f>
        <v>0</v>
      </c>
      <c r="F209" s="11">
        <f t="shared" si="16"/>
        <v>0</v>
      </c>
    </row>
    <row r="210">
      <c r="A210" s="9">
        <f t="shared" si="17"/>
        <v>15</v>
      </c>
      <c r="B210" s="10">
        <f>IF(INDEX(rngYear,A210+1)&lt;&gt;0,INDEX(rngYear,A210+1),"")</f>
        <v>1994</v>
      </c>
      <c r="C210" s="11">
        <f>IFERROR(INDEX(rngData,MATCH($B210,rngYear,0),MATCH(OFFSET(C210,-$A210,0),rngColumnNames,0)),"")</f>
        <v>0</v>
      </c>
      <c r="D210" s="11">
        <f>IFERROR(INDEX(rngData,MATCH($B210,rngYear,0),MATCH(OFFSET(D210,-$A210,0),rngColumnNames,0)),"")</f>
        <v>0</v>
      </c>
      <c r="E210" s="11">
        <f>IFERROR(INDEX(rngData,MATCH($B210,rngYear,0),MATCH(OFFSET(E210,-$A210,0),rngColumnNames,0)),"")</f>
        <v>0</v>
      </c>
      <c r="F210" s="11">
        <f t="shared" si="16"/>
        <v>0</v>
      </c>
    </row>
    <row r="211">
      <c r="A211" s="9">
        <f t="shared" si="17"/>
        <v>16</v>
      </c>
      <c r="B211" s="10">
        <f>IF(INDEX(rngYear,A211+1)&lt;&gt;0,INDEX(rngYear,A211+1),"")</f>
        <v>1995</v>
      </c>
      <c r="C211" s="11">
        <f>IFERROR(INDEX(rngData,MATCH($B211,rngYear,0),MATCH(OFFSET(C211,-$A211,0),rngColumnNames,0)),"")</f>
        <v>0</v>
      </c>
      <c r="D211" s="11">
        <f>IFERROR(INDEX(rngData,MATCH($B211,rngYear,0),MATCH(OFFSET(D211,-$A211,0),rngColumnNames,0)),"")</f>
        <v>0</v>
      </c>
      <c r="E211" s="11">
        <f>IFERROR(INDEX(rngData,MATCH($B211,rngYear,0),MATCH(OFFSET(E211,-$A211,0),rngColumnNames,0)),"")</f>
        <v>0</v>
      </c>
      <c r="F211" s="11">
        <f t="shared" si="16"/>
        <v>0</v>
      </c>
    </row>
    <row r="212">
      <c r="A212" s="9">
        <f t="shared" si="17"/>
        <v>17</v>
      </c>
      <c r="B212" s="10">
        <f>IF(INDEX(rngYear,A212+1)&lt;&gt;0,INDEX(rngYear,A212+1),"")</f>
        <v>1996</v>
      </c>
      <c r="C212" s="11">
        <f>IFERROR(INDEX(rngData,MATCH($B212,rngYear,0),MATCH(OFFSET(C212,-$A212,0),rngColumnNames,0)),"")</f>
        <v>0</v>
      </c>
      <c r="D212" s="11">
        <f>IFERROR(INDEX(rngData,MATCH($B212,rngYear,0),MATCH(OFFSET(D212,-$A212,0),rngColumnNames,0)),"")</f>
        <v>0</v>
      </c>
      <c r="E212" s="11">
        <f>IFERROR(INDEX(rngData,MATCH($B212,rngYear,0),MATCH(OFFSET(E212,-$A212,0),rngColumnNames,0)),"")</f>
        <v>0</v>
      </c>
      <c r="F212" s="11">
        <f t="shared" si="16"/>
        <v>0</v>
      </c>
    </row>
    <row r="213">
      <c r="A213" s="9">
        <f t="shared" si="17"/>
        <v>18</v>
      </c>
      <c r="B213" s="10">
        <f>IF(INDEX(rngYear,A213+1)&lt;&gt;0,INDEX(rngYear,A213+1),"")</f>
        <v>1997</v>
      </c>
      <c r="C213" s="11">
        <f>IFERROR(INDEX(rngData,MATCH($B213,rngYear,0),MATCH(OFFSET(C213,-$A213,0),rngColumnNames,0)),"")</f>
        <v>0</v>
      </c>
      <c r="D213" s="11">
        <f>IFERROR(INDEX(rngData,MATCH($B213,rngYear,0),MATCH(OFFSET(D213,-$A213,0),rngColumnNames,0)),"")</f>
        <v>0</v>
      </c>
      <c r="E213" s="11">
        <f>IFERROR(INDEX(rngData,MATCH($B213,rngYear,0),MATCH(OFFSET(E213,-$A213,0),rngColumnNames,0)),"")</f>
        <v>0</v>
      </c>
      <c r="F213" s="11">
        <f t="shared" si="16"/>
        <v>0</v>
      </c>
    </row>
    <row r="214">
      <c r="A214" s="9">
        <f t="shared" si="17"/>
        <v>19</v>
      </c>
      <c r="B214" s="10">
        <f>IF(INDEX(rngYear,A214+1)&lt;&gt;0,INDEX(rngYear,A214+1),"")</f>
        <v>1998</v>
      </c>
      <c r="C214" s="11">
        <f>IFERROR(INDEX(rngData,MATCH($B214,rngYear,0),MATCH(OFFSET(C214,-$A214,0),rngColumnNames,0)),"")</f>
        <v>0</v>
      </c>
      <c r="D214" s="11">
        <f>IFERROR(INDEX(rngData,MATCH($B214,rngYear,0),MATCH(OFFSET(D214,-$A214,0),rngColumnNames,0)),"")</f>
        <v>0</v>
      </c>
      <c r="E214" s="11">
        <f>IFERROR(INDEX(rngData,MATCH($B214,rngYear,0),MATCH(OFFSET(E214,-$A214,0),rngColumnNames,0)),"")</f>
        <v>0</v>
      </c>
      <c r="F214" s="11">
        <f t="shared" si="16"/>
        <v>0</v>
      </c>
    </row>
    <row r="215">
      <c r="A215" s="9">
        <f t="shared" si="17"/>
        <v>20</v>
      </c>
      <c r="B215" s="10">
        <f>IF(INDEX(rngYear,A215+1)&lt;&gt;0,INDEX(rngYear,A215+1),"")</f>
        <v>1999</v>
      </c>
      <c r="C215" s="11">
        <f>IFERROR(INDEX(rngData,MATCH($B215,rngYear,0),MATCH(OFFSET(C215,-$A215,0),rngColumnNames,0)),"")</f>
        <v>0</v>
      </c>
      <c r="D215" s="11">
        <f>IFERROR(INDEX(rngData,MATCH($B215,rngYear,0),MATCH(OFFSET(D215,-$A215,0),rngColumnNames,0)),"")</f>
        <v>0</v>
      </c>
      <c r="E215" s="11">
        <f>IFERROR(INDEX(rngData,MATCH($B215,rngYear,0),MATCH(OFFSET(E215,-$A215,0),rngColumnNames,0)),"")</f>
        <v>0</v>
      </c>
      <c r="F215" s="11">
        <f t="shared" si="16"/>
        <v>0</v>
      </c>
    </row>
    <row r="216">
      <c r="A216" s="9">
        <f t="shared" si="17"/>
        <v>21</v>
      </c>
      <c r="B216" s="10">
        <f>IF(INDEX(rngYear,A216+1)&lt;&gt;0,INDEX(rngYear,A216+1),"")</f>
        <v>2000</v>
      </c>
      <c r="C216" s="11">
        <f>IFERROR(INDEX(rngData,MATCH($B216,rngYear,0),MATCH(OFFSET(C216,-$A216,0),rngColumnNames,0)),"")</f>
        <v>0</v>
      </c>
      <c r="D216" s="11">
        <f>IFERROR(INDEX(rngData,MATCH($B216,rngYear,0),MATCH(OFFSET(D216,-$A216,0),rngColumnNames,0)),"")</f>
        <v>0</v>
      </c>
      <c r="E216" s="11">
        <f>IFERROR(INDEX(rngData,MATCH($B216,rngYear,0),MATCH(OFFSET(E216,-$A216,0),rngColumnNames,0)),"")</f>
        <v>0</v>
      </c>
      <c r="F216" s="11">
        <f t="shared" si="16"/>
        <v>0</v>
      </c>
    </row>
    <row r="217">
      <c r="A217" s="9">
        <f t="shared" si="17"/>
        <v>22</v>
      </c>
      <c r="B217" s="10">
        <f>IF(INDEX(rngYear,A217+1)&lt;&gt;0,INDEX(rngYear,A217+1),"")</f>
        <v>2001</v>
      </c>
      <c r="C217" s="11">
        <f>IFERROR(INDEX(rngData,MATCH($B217,rngYear,0),MATCH(OFFSET(C217,-$A217,0),rngColumnNames,0)),"")</f>
        <v>0</v>
      </c>
      <c r="D217" s="11">
        <f>IFERROR(INDEX(rngData,MATCH($B217,rngYear,0),MATCH(OFFSET(D217,-$A217,0),rngColumnNames,0)),"")</f>
        <v>0</v>
      </c>
      <c r="E217" s="11">
        <f>IFERROR(INDEX(rngData,MATCH($B217,rngYear,0),MATCH(OFFSET(E217,-$A217,0),rngColumnNames,0)),"")</f>
        <v>0</v>
      </c>
      <c r="F217" s="11">
        <f t="shared" si="16"/>
        <v>0</v>
      </c>
    </row>
    <row r="218">
      <c r="A218" s="9">
        <f t="shared" si="17"/>
        <v>23</v>
      </c>
      <c r="B218" s="10">
        <f>IF(INDEX(rngYear,A218+1)&lt;&gt;0,INDEX(rngYear,A218+1),"")</f>
        <v>2002</v>
      </c>
      <c r="C218" s="11">
        <f>IFERROR(INDEX(rngData,MATCH($B218,rngYear,0),MATCH(OFFSET(C218,-$A218,0),rngColumnNames,0)),"")</f>
        <v>0</v>
      </c>
      <c r="D218" s="11">
        <f>IFERROR(INDEX(rngData,MATCH($B218,rngYear,0),MATCH(OFFSET(D218,-$A218,0),rngColumnNames,0)),"")</f>
        <v>0</v>
      </c>
      <c r="E218" s="11">
        <f>IFERROR(INDEX(rngData,MATCH($B218,rngYear,0),MATCH(OFFSET(E218,-$A218,0),rngColumnNames,0)),"")</f>
        <v>0</v>
      </c>
      <c r="F218" s="11">
        <f t="shared" si="16"/>
        <v>0</v>
      </c>
    </row>
    <row r="219">
      <c r="A219" s="9">
        <f t="shared" si="17"/>
        <v>24</v>
      </c>
      <c r="B219" s="10">
        <f>IF(INDEX(rngYear,A219+1)&lt;&gt;0,INDEX(rngYear,A219+1),"")</f>
        <v>2003</v>
      </c>
      <c r="C219" s="11">
        <f>IFERROR(INDEX(rngData,MATCH($B219,rngYear,0),MATCH(OFFSET(C219,-$A219,0),rngColumnNames,0)),"")</f>
        <v>0</v>
      </c>
      <c r="D219" s="11">
        <f>IFERROR(INDEX(rngData,MATCH($B219,rngYear,0),MATCH(OFFSET(D219,-$A219,0),rngColumnNames,0)),"")</f>
        <v>0</v>
      </c>
      <c r="E219" s="11">
        <f>IFERROR(INDEX(rngData,MATCH($B219,rngYear,0),MATCH(OFFSET(E219,-$A219,0),rngColumnNames,0)),"")</f>
        <v>0</v>
      </c>
      <c r="F219" s="11">
        <f t="shared" si="16"/>
        <v>0</v>
      </c>
    </row>
    <row r="220">
      <c r="A220" s="9">
        <f t="shared" si="17"/>
        <v>25</v>
      </c>
      <c r="B220" s="10">
        <f>IF(INDEX(rngYear,A220+1)&lt;&gt;0,INDEX(rngYear,A220+1),"")</f>
        <v>2004</v>
      </c>
      <c r="C220" s="11">
        <f>IFERROR(INDEX(rngData,MATCH($B220,rngYear,0),MATCH(OFFSET(C220,-$A220,0),rngColumnNames,0)),"")</f>
        <v>0</v>
      </c>
      <c r="D220" s="11">
        <f>IFERROR(INDEX(rngData,MATCH($B220,rngYear,0),MATCH(OFFSET(D220,-$A220,0),rngColumnNames,0)),"")</f>
        <v>0</v>
      </c>
      <c r="E220" s="11">
        <f>IFERROR(INDEX(rngData,MATCH($B220,rngYear,0),MATCH(OFFSET(E220,-$A220,0),rngColumnNames,0)),"")</f>
        <v>0</v>
      </c>
      <c r="F220" s="11">
        <f t="shared" si="16"/>
        <v>0</v>
      </c>
    </row>
    <row r="221">
      <c r="A221" s="9">
        <f t="shared" si="17"/>
        <v>26</v>
      </c>
      <c r="B221" s="10">
        <f>IF(INDEX(rngYear,A221+1)&lt;&gt;0,INDEX(rngYear,A221+1),"")</f>
        <v>2005</v>
      </c>
      <c r="C221" s="11">
        <f>IFERROR(INDEX(rngData,MATCH($B221,rngYear,0),MATCH(OFFSET(C221,-$A221,0),rngColumnNames,0)),"")</f>
        <v>0</v>
      </c>
      <c r="D221" s="11">
        <f>IFERROR(INDEX(rngData,MATCH($B221,rngYear,0),MATCH(OFFSET(D221,-$A221,0),rngColumnNames,0)),"")</f>
        <v>0</v>
      </c>
      <c r="E221" s="11">
        <f>IFERROR(INDEX(rngData,MATCH($B221,rngYear,0),MATCH(OFFSET(E221,-$A221,0),rngColumnNames,0)),"")</f>
        <v>0</v>
      </c>
      <c r="F221" s="11">
        <f t="shared" si="16"/>
        <v>0</v>
      </c>
    </row>
    <row r="222">
      <c r="A222" s="9">
        <f t="shared" si="17"/>
        <v>27</v>
      </c>
      <c r="B222" s="10">
        <f>IF(INDEX(rngYear,A222+1)&lt;&gt;0,INDEX(rngYear,A222+1),"")</f>
        <v>2006</v>
      </c>
      <c r="C222" s="11">
        <f>IFERROR(INDEX(rngData,MATCH($B222,rngYear,0),MATCH(OFFSET(C222,-$A222,0),rngColumnNames,0)),"")</f>
        <v>0</v>
      </c>
      <c r="D222" s="11">
        <f>IFERROR(INDEX(rngData,MATCH($B222,rngYear,0),MATCH(OFFSET(D222,-$A222,0),rngColumnNames,0)),"")</f>
        <v>0</v>
      </c>
      <c r="E222" s="11">
        <f>IFERROR(INDEX(rngData,MATCH($B222,rngYear,0),MATCH(OFFSET(E222,-$A222,0),rngColumnNames,0)),"")</f>
        <v>0</v>
      </c>
      <c r="F222" s="11">
        <f t="shared" si="16"/>
        <v>0</v>
      </c>
    </row>
    <row r="223">
      <c r="A223" s="9">
        <f t="shared" si="17"/>
        <v>28</v>
      </c>
      <c r="B223" s="10">
        <f>IF(INDEX(rngYear,A223+1)&lt;&gt;0,INDEX(rngYear,A223+1),"")</f>
        <v>2007</v>
      </c>
      <c r="C223" s="11">
        <f>IFERROR(INDEX(rngData,MATCH($B223,rngYear,0),MATCH(OFFSET(C223,-$A223,0),rngColumnNames,0)),"")</f>
        <v>0</v>
      </c>
      <c r="D223" s="11">
        <f>IFERROR(INDEX(rngData,MATCH($B223,rngYear,0),MATCH(OFFSET(D223,-$A223,0),rngColumnNames,0)),"")</f>
        <v>0</v>
      </c>
      <c r="E223" s="11">
        <f>IFERROR(INDEX(rngData,MATCH($B223,rngYear,0),MATCH(OFFSET(E223,-$A223,0),rngColumnNames,0)),"")</f>
        <v>0</v>
      </c>
      <c r="F223" s="11">
        <f t="shared" si="16"/>
        <v>0</v>
      </c>
    </row>
    <row r="224">
      <c r="A224" s="9">
        <f t="shared" si="17"/>
        <v>29</v>
      </c>
      <c r="B224" s="10">
        <f>IF(INDEX(rngYear,A224+1)&lt;&gt;0,INDEX(rngYear,A224+1),"")</f>
        <v>2008</v>
      </c>
      <c r="C224" s="11">
        <f>IFERROR(INDEX(rngData,MATCH($B224,rngYear,0),MATCH(OFFSET(C224,-$A224,0),rngColumnNames,0)),"")</f>
        <v>0</v>
      </c>
      <c r="D224" s="11">
        <f>IFERROR(INDEX(rngData,MATCH($B224,rngYear,0),MATCH(OFFSET(D224,-$A224,0),rngColumnNames,0)),"")</f>
        <v>0</v>
      </c>
      <c r="E224" s="11">
        <f>IFERROR(INDEX(rngData,MATCH($B224,rngYear,0),MATCH(OFFSET(E224,-$A224,0),rngColumnNames,0)),"")</f>
        <v>0</v>
      </c>
      <c r="F224" s="11">
        <f t="shared" si="16"/>
        <v>0</v>
      </c>
    </row>
    <row r="225">
      <c r="A225" s="9">
        <f t="shared" si="17"/>
        <v>30</v>
      </c>
      <c r="B225" s="10">
        <f>IF(INDEX(rngYear,A225+1)&lt;&gt;0,INDEX(rngYear,A225+1),"")</f>
        <v>2009</v>
      </c>
      <c r="C225" s="11">
        <f>IFERROR(INDEX(rngData,MATCH($B225,rngYear,0),MATCH(OFFSET(C225,-$A225,0),rngColumnNames,0)),"")</f>
        <v>0</v>
      </c>
      <c r="D225" s="11">
        <f>IFERROR(INDEX(rngData,MATCH($B225,rngYear,0),MATCH(OFFSET(D225,-$A225,0),rngColumnNames,0)),"")</f>
        <v>0</v>
      </c>
      <c r="E225" s="11">
        <f>IFERROR(INDEX(rngData,MATCH($B225,rngYear,0),MATCH(OFFSET(E225,-$A225,0),rngColumnNames,0)),"")</f>
        <v>0</v>
      </c>
      <c r="F225" s="11">
        <f t="shared" si="16"/>
        <v>0</v>
      </c>
    </row>
    <row r="226">
      <c r="A226" s="9">
        <f t="shared" si="17"/>
        <v>31</v>
      </c>
      <c r="B226" s="10">
        <f>IF(INDEX(rngYear,A226+1)&lt;&gt;0,INDEX(rngYear,A226+1),"")</f>
        <v>2010</v>
      </c>
      <c r="C226" s="11">
        <f>IFERROR(INDEX(rngData,MATCH($B226,rngYear,0),MATCH(OFFSET(C226,-$A226,0),rngColumnNames,0)),"")</f>
        <v>0</v>
      </c>
      <c r="D226" s="11">
        <f>IFERROR(INDEX(rngData,MATCH($B226,rngYear,0),MATCH(OFFSET(D226,-$A226,0),rngColumnNames,0)),"")</f>
        <v>0</v>
      </c>
      <c r="E226" s="11">
        <f>IFERROR(INDEX(rngData,MATCH($B226,rngYear,0),MATCH(OFFSET(E226,-$A226,0),rngColumnNames,0)),"")</f>
        <v>0</v>
      </c>
      <c r="F226" s="11">
        <f t="shared" si="16"/>
        <v>0</v>
      </c>
    </row>
    <row r="227">
      <c r="A227" s="9">
        <f t="shared" si="17"/>
        <v>32</v>
      </c>
      <c r="B227" s="10">
        <f>IF(INDEX(rngYear,A227+1)&lt;&gt;0,INDEX(rngYear,A227+1),"")</f>
        <v>2011</v>
      </c>
      <c r="C227" s="11">
        <f>IFERROR(INDEX(rngData,MATCH($B227,rngYear,0),MATCH(OFFSET(C227,-$A227,0),rngColumnNames,0)),"")</f>
        <v>0</v>
      </c>
      <c r="D227" s="11">
        <f>IFERROR(INDEX(rngData,MATCH($B227,rngYear,0),MATCH(OFFSET(D227,-$A227,0),rngColumnNames,0)),"")</f>
        <v>0</v>
      </c>
      <c r="E227" s="11">
        <f>IFERROR(INDEX(rngData,MATCH($B227,rngYear,0),MATCH(OFFSET(E227,-$A227,0),rngColumnNames,0)),"")</f>
        <v>0</v>
      </c>
      <c r="F227" s="11">
        <f t="shared" si="16"/>
        <v>0</v>
      </c>
    </row>
    <row r="228">
      <c r="A228" s="9">
        <f t="shared" si="17"/>
        <v>33</v>
      </c>
      <c r="B228" s="10">
        <f>IF(INDEX(rngYear,A228+1)&lt;&gt;0,INDEX(rngYear,A228+1),"")</f>
        <v>2012</v>
      </c>
      <c r="C228" s="11">
        <f>IFERROR(INDEX(rngData,MATCH($B228,rngYear,0),MATCH(OFFSET(C228,-$A228,0),rngColumnNames,0)),"")</f>
        <v>0</v>
      </c>
      <c r="D228" s="11">
        <f>IFERROR(INDEX(rngData,MATCH($B228,rngYear,0),MATCH(OFFSET(D228,-$A228,0),rngColumnNames,0)),"")</f>
        <v>0</v>
      </c>
      <c r="E228" s="11">
        <f>IFERROR(INDEX(rngData,MATCH($B228,rngYear,0),MATCH(OFFSET(E228,-$A228,0),rngColumnNames,0)),"")</f>
        <v>0</v>
      </c>
      <c r="F228" s="11">
        <f ref="F228:F255" t="shared" si="18">IFERROR(E228-D228,"")</f>
        <v>0</v>
      </c>
    </row>
    <row r="229" hidden="1">
      <c r="A229" s="9">
        <f ref="A229:A255" t="shared" si="19">A228+1</f>
        <v>34</v>
      </c>
      <c r="B229" s="10">
        <f>IF(INDEX(rngYear,A229+1)&lt;&gt;0,INDEX(rngYear,A229+1),"")</f>
      </c>
      <c r="C229" s="11">
        <f>IFERROR(INDEX(rngData,MATCH($B229,rngYear,0),MATCH(OFFSET(C229,-$A229,0),rngColumnNames,0)),"")</f>
      </c>
      <c r="D229" s="11">
        <f>IFERROR(INDEX(rngData,MATCH($B229,rngYear,0),MATCH(OFFSET(D229,-$A229,0),rngColumnNames,0)),"")</f>
      </c>
      <c r="E229" s="11">
        <f>IFERROR(INDEX(rngData,MATCH($B229,rngYear,0),MATCH(OFFSET(E229,-$A229,0),rngColumnNames,0)),"")</f>
      </c>
      <c r="F229" s="11">
        <f t="shared" si="18"/>
      </c>
    </row>
    <row r="230" hidden="1">
      <c r="A230" s="9">
        <f t="shared" si="19"/>
        <v>35</v>
      </c>
      <c r="B230" s="10">
        <f>IF(INDEX(rngYear,A230+1)&lt;&gt;0,INDEX(rngYear,A230+1),"")</f>
      </c>
      <c r="C230" s="11">
        <f>IFERROR(INDEX(rngData,MATCH($B230,rngYear,0),MATCH(OFFSET(C230,-$A230,0),rngColumnNames,0)),"")</f>
      </c>
      <c r="D230" s="11">
        <f>IFERROR(INDEX(rngData,MATCH($B230,rngYear,0),MATCH(OFFSET(D230,-$A230,0),rngColumnNames,0)),"")</f>
      </c>
      <c r="E230" s="11">
        <f>IFERROR(INDEX(rngData,MATCH($B230,rngYear,0),MATCH(OFFSET(E230,-$A230,0),rngColumnNames,0)),"")</f>
      </c>
      <c r="F230" s="11">
        <f t="shared" si="18"/>
      </c>
    </row>
    <row r="231" hidden="1">
      <c r="A231" s="9">
        <f t="shared" si="19"/>
        <v>36</v>
      </c>
      <c r="B231" s="10">
        <f>IF(INDEX(rngYear,A231+1)&lt;&gt;0,INDEX(rngYear,A231+1),"")</f>
      </c>
      <c r="C231" s="11">
        <f>IFERROR(INDEX(rngData,MATCH($B231,rngYear,0),MATCH(OFFSET(C231,-$A231,0),rngColumnNames,0)),"")</f>
      </c>
      <c r="D231" s="11">
        <f>IFERROR(INDEX(rngData,MATCH($B231,rngYear,0),MATCH(OFFSET(D231,-$A231,0),rngColumnNames,0)),"")</f>
      </c>
      <c r="E231" s="11">
        <f>IFERROR(INDEX(rngData,MATCH($B231,rngYear,0),MATCH(OFFSET(E231,-$A231,0),rngColumnNames,0)),"")</f>
      </c>
      <c r="F231" s="11">
        <f t="shared" si="18"/>
      </c>
    </row>
    <row r="232" hidden="1">
      <c r="A232" s="9">
        <f t="shared" si="19"/>
        <v>37</v>
      </c>
      <c r="B232" s="10">
        <f>IF(INDEX(rngYear,A232+1)&lt;&gt;0,INDEX(rngYear,A232+1),"")</f>
      </c>
      <c r="C232" s="11">
        <f>IFERROR(INDEX(rngData,MATCH($B232,rngYear,0),MATCH(OFFSET(C232,-$A232,0),rngColumnNames,0)),"")</f>
      </c>
      <c r="D232" s="11">
        <f>IFERROR(INDEX(rngData,MATCH($B232,rngYear,0),MATCH(OFFSET(D232,-$A232,0),rngColumnNames,0)),"")</f>
      </c>
      <c r="E232" s="11">
        <f>IFERROR(INDEX(rngData,MATCH($B232,rngYear,0),MATCH(OFFSET(E232,-$A232,0),rngColumnNames,0)),"")</f>
      </c>
      <c r="F232" s="11">
        <f t="shared" si="18"/>
      </c>
    </row>
    <row r="233" hidden="1">
      <c r="A233" s="9">
        <f t="shared" si="19"/>
        <v>38</v>
      </c>
      <c r="B233" s="10">
        <f>IF(INDEX(rngYear,A233+1)&lt;&gt;0,INDEX(rngYear,A233+1),"")</f>
      </c>
      <c r="C233" s="11">
        <f>IFERROR(INDEX(rngData,MATCH($B233,rngYear,0),MATCH(OFFSET(C233,-$A233,0),rngColumnNames,0)),"")</f>
      </c>
      <c r="D233" s="11">
        <f>IFERROR(INDEX(rngData,MATCH($B233,rngYear,0),MATCH(OFFSET(D233,-$A233,0),rngColumnNames,0)),"")</f>
      </c>
      <c r="E233" s="11">
        <f>IFERROR(INDEX(rngData,MATCH($B233,rngYear,0),MATCH(OFFSET(E233,-$A233,0),rngColumnNames,0)),"")</f>
      </c>
      <c r="F233" s="11">
        <f t="shared" si="18"/>
      </c>
    </row>
    <row r="234" hidden="1">
      <c r="A234" s="9">
        <f t="shared" si="19"/>
        <v>39</v>
      </c>
      <c r="B234" s="10">
        <f>IF(INDEX(rngYear,A234+1)&lt;&gt;0,INDEX(rngYear,A234+1),"")</f>
      </c>
      <c r="C234" s="11">
        <f>IFERROR(INDEX(rngData,MATCH($B234,rngYear,0),MATCH(OFFSET(C234,-$A234,0),rngColumnNames,0)),"")</f>
      </c>
      <c r="D234" s="11">
        <f>IFERROR(INDEX(rngData,MATCH($B234,rngYear,0),MATCH(OFFSET(D234,-$A234,0),rngColumnNames,0)),"")</f>
      </c>
      <c r="E234" s="11">
        <f>IFERROR(INDEX(rngData,MATCH($B234,rngYear,0),MATCH(OFFSET(E234,-$A234,0),rngColumnNames,0)),"")</f>
      </c>
      <c r="F234" s="11">
        <f t="shared" si="18"/>
      </c>
    </row>
    <row r="235" hidden="1">
      <c r="A235" s="9">
        <f t="shared" si="19"/>
        <v>40</v>
      </c>
      <c r="B235" s="10">
        <f>IF(INDEX(rngYear,A235+1)&lt;&gt;0,INDEX(rngYear,A235+1),"")</f>
      </c>
      <c r="C235" s="11">
        <f>IFERROR(INDEX(rngData,MATCH($B235,rngYear,0),MATCH(OFFSET(C235,-$A235,0),rngColumnNames,0)),"")</f>
      </c>
      <c r="D235" s="11">
        <f>IFERROR(INDEX(rngData,MATCH($B235,rngYear,0),MATCH(OFFSET(D235,-$A235,0),rngColumnNames,0)),"")</f>
      </c>
      <c r="E235" s="11">
        <f>IFERROR(INDEX(rngData,MATCH($B235,rngYear,0),MATCH(OFFSET(E235,-$A235,0),rngColumnNames,0)),"")</f>
      </c>
      <c r="F235" s="11">
        <f t="shared" si="18"/>
      </c>
    </row>
    <row r="236" hidden="1">
      <c r="A236" s="9">
        <f t="shared" si="19"/>
        <v>41</v>
      </c>
      <c r="B236" s="10">
        <f>IF(INDEX(rngYear,A236+1)&lt;&gt;0,INDEX(rngYear,A236+1),"")</f>
      </c>
      <c r="C236" s="11">
        <f>IFERROR(INDEX(rngData,MATCH($B236,rngYear,0),MATCH(OFFSET(C236,-$A236,0),rngColumnNames,0)),"")</f>
      </c>
      <c r="D236" s="11">
        <f>IFERROR(INDEX(rngData,MATCH($B236,rngYear,0),MATCH(OFFSET(D236,-$A236,0),rngColumnNames,0)),"")</f>
      </c>
      <c r="E236" s="11">
        <f>IFERROR(INDEX(rngData,MATCH($B236,rngYear,0),MATCH(OFFSET(E236,-$A236,0),rngColumnNames,0)),"")</f>
      </c>
      <c r="F236" s="11">
        <f t="shared" si="18"/>
      </c>
    </row>
    <row r="237" hidden="1">
      <c r="A237" s="9">
        <f t="shared" si="19"/>
        <v>42</v>
      </c>
      <c r="B237" s="10">
        <f>IF(INDEX(rngYear,A237+1)&lt;&gt;0,INDEX(rngYear,A237+1),"")</f>
      </c>
      <c r="C237" s="11">
        <f>IFERROR(INDEX(rngData,MATCH($B237,rngYear,0),MATCH(OFFSET(C237,-$A237,0),rngColumnNames,0)),"")</f>
      </c>
      <c r="D237" s="11">
        <f>IFERROR(INDEX(rngData,MATCH($B237,rngYear,0),MATCH(OFFSET(D237,-$A237,0),rngColumnNames,0)),"")</f>
      </c>
      <c r="E237" s="11">
        <f>IFERROR(INDEX(rngData,MATCH($B237,rngYear,0),MATCH(OFFSET(E237,-$A237,0),rngColumnNames,0)),"")</f>
      </c>
      <c r="F237" s="11">
        <f t="shared" si="18"/>
      </c>
    </row>
    <row r="238" hidden="1">
      <c r="A238" s="9">
        <f t="shared" si="19"/>
        <v>43</v>
      </c>
      <c r="B238" s="10">
        <f>IF(INDEX(rngYear,A238+1)&lt;&gt;0,INDEX(rngYear,A238+1),"")</f>
      </c>
      <c r="C238" s="11">
        <f>IFERROR(INDEX(rngData,MATCH($B238,rngYear,0),MATCH(OFFSET(C238,-$A238,0),rngColumnNames,0)),"")</f>
      </c>
      <c r="D238" s="11">
        <f>IFERROR(INDEX(rngData,MATCH($B238,rngYear,0),MATCH(OFFSET(D238,-$A238,0),rngColumnNames,0)),"")</f>
      </c>
      <c r="E238" s="11">
        <f>IFERROR(INDEX(rngData,MATCH($B238,rngYear,0),MATCH(OFFSET(E238,-$A238,0),rngColumnNames,0)),"")</f>
      </c>
      <c r="F238" s="11">
        <f t="shared" si="18"/>
      </c>
    </row>
    <row r="239" hidden="1">
      <c r="A239" s="9">
        <f t="shared" si="19"/>
        <v>44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 t="shared" si="18"/>
      </c>
    </row>
    <row r="240" hidden="1">
      <c r="A240" s="9">
        <f t="shared" si="19"/>
        <v>45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 t="shared" si="18"/>
      </c>
    </row>
    <row r="241" hidden="1">
      <c r="A241" s="9">
        <f t="shared" si="19"/>
        <v>46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 t="shared" si="18"/>
      </c>
    </row>
    <row r="242" hidden="1">
      <c r="A242" s="9">
        <f t="shared" si="19"/>
        <v>47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 t="shared" si="18"/>
      </c>
    </row>
    <row r="243" hidden="1">
      <c r="A243" s="9">
        <f t="shared" si="19"/>
        <v>48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 t="shared" si="18"/>
      </c>
    </row>
    <row r="244" hidden="1">
      <c r="A244" s="9">
        <f t="shared" si="19"/>
        <v>49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 t="shared" si="18"/>
      </c>
    </row>
    <row r="245" hidden="1">
      <c r="A245" s="9">
        <f t="shared" si="19"/>
        <v>50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 t="shared" si="18"/>
      </c>
    </row>
    <row r="246" hidden="1">
      <c r="A246" s="9">
        <f t="shared" si="19"/>
        <v>51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 t="shared" si="18"/>
      </c>
    </row>
    <row r="247" hidden="1">
      <c r="A247" s="9">
        <f t="shared" si="19"/>
        <v>52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 t="shared" si="18"/>
      </c>
    </row>
    <row r="248" hidden="1">
      <c r="A248" s="9">
        <f t="shared" si="19"/>
        <v>53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 t="shared" si="18"/>
      </c>
    </row>
    <row r="249" hidden="1">
      <c r="A249" s="9">
        <f t="shared" si="19"/>
        <v>54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 t="shared" si="18"/>
      </c>
    </row>
    <row r="250" hidden="1">
      <c r="A250" s="9">
        <f t="shared" si="19"/>
        <v>55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 t="shared" si="18"/>
      </c>
    </row>
    <row r="251" hidden="1">
      <c r="A251" s="9">
        <f t="shared" si="19"/>
        <v>56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 t="shared" si="18"/>
      </c>
    </row>
    <row r="252" hidden="1">
      <c r="A252" s="9">
        <f t="shared" si="19"/>
        <v>57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 t="shared" si="18"/>
      </c>
    </row>
    <row r="253" hidden="1">
      <c r="A253" s="9">
        <f t="shared" si="19"/>
        <v>58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 t="shared" si="18"/>
      </c>
    </row>
    <row r="254" hidden="1">
      <c r="A254" s="9">
        <f t="shared" si="19"/>
        <v>59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 t="shared" si="18"/>
      </c>
    </row>
    <row r="255" hidden="1">
      <c r="A255" s="9">
        <f t="shared" si="19"/>
        <v>60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 t="shared" si="18"/>
      </c>
    </row>
  </sheetData>
  <mergeCells>
    <mergeCell ref="A1:M1"/>
    <mergeCell ref="A65:M65"/>
    <mergeCell ref="L130:N130"/>
    <mergeCell ref="D194:F194"/>
    <mergeCell ref="A129:T129"/>
    <mergeCell ref="A193:T193"/>
    <mergeCell ref="D2:F2"/>
    <mergeCell ref="D66:F66"/>
    <mergeCell ref="D130:F130"/>
    <mergeCell ref="H130:J130"/>
  </mergeCells>
  <dataValidations disablePrompts="1" count="14">
    <dataValidation type="list" allowBlank="1" showDropDown="1" showInputMessage="1" showErrorMessage="1" sqref="B3">
      <formula1>"year"</formula1>
    </dataValidation>
    <dataValidation type="list" allowBlank="1" showDropDown="1" showInputMessage="1" showErrorMessage="1" sqref="B67">
      <formula1>"year"</formula1>
    </dataValidation>
    <dataValidation type="list" allowBlank="1" showDropDown="1" showInputMessage="1" showErrorMessage="1" sqref="B131">
      <formula1>"year"</formula1>
    </dataValidation>
    <dataValidation type="list" allowBlank="1" showDropDown="1" showInputMessage="1" showErrorMessage="1" sqref="B195">
      <formula1>"year"</formula1>
    </dataValidation>
    <dataValidation type="list" allowBlank="1" showInputMessage="1" showErrorMessage="1" sqref="J30">
      <formula1>rngColumnNames</formula1>
    </dataValidation>
    <dataValidation type="list" allowBlank="1" showInputMessage="1" showErrorMessage="1" sqref="J94">
      <formula1>rngColumnNames</formula1>
    </dataValidation>
    <dataValidation type="list" allowBlank="1" showInputMessage="1" showErrorMessage="1" sqref="R158">
      <formula1>rngColumnNames</formula1>
    </dataValidation>
    <dataValidation type="list" allowBlank="1" showInputMessage="1" showErrorMessage="1" sqref="J222">
      <formula1>rngColumnNames</formula1>
    </dataValidation>
    <dataValidation type="list" allowBlank="1" showInputMessage="1" showErrorMessage="1" sqref="C3:E3">
      <formula1>rngColumnNames</formula1>
    </dataValidation>
    <dataValidation type="list" allowBlank="1" showInputMessage="1" showErrorMessage="1" sqref="C67:E67">
      <formula1>rngColumnNames</formula1>
    </dataValidation>
    <dataValidation type="list" allowBlank="1" showInputMessage="1" showErrorMessage="1" sqref="C131:E131">
      <formula1>rngColumnNames</formula1>
    </dataValidation>
    <dataValidation type="list" allowBlank="1" showInputMessage="1" showErrorMessage="1" sqref="K131:M131">
      <formula1>rngColumnNames</formula1>
    </dataValidation>
    <dataValidation type="list" allowBlank="1" showInputMessage="1" showErrorMessage="1" sqref="G131:I131">
      <formula1>rngColumnNames</formula1>
    </dataValidation>
    <dataValidation type="list" allowBlank="1" showInputMessage="1" showErrorMessage="1" sqref="C195:E195">
      <formula1>rngColumnNames</formula1>
    </dataValidation>
  </dataValidations>
  <pageMargins left="0.7" right="0.7" top="0.75" bottom="0.75" header="0.3" footer="0.3"/>
  <pageSetup paperSize="9" orientation="portrait"/>
  <headerFooter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A1:BX45"/>
  <sheetViews>
    <sheetView workbookViewId="0">
      <selection activeCell="F19" sqref="F19"/>
    </sheetView>
  </sheetViews>
  <sheetFormatPr defaultColWidth="9.140625" defaultRowHeight="11.25" x14ac:dyDescent="0.2"/>
  <sheetData>
    <row r="1">
      <c r="A1" s="0" t="s">
        <v>4</v>
      </c>
      <c r="B1" s="0" t="s">
        <v>5</v>
      </c>
      <c r="C1" s="0" t="s">
        <v>6</v>
      </c>
      <c r="D1" s="0" t="s">
        <v>7</v>
      </c>
      <c r="E1" s="0" t="s">
        <v>8</v>
      </c>
      <c r="F1" s="0" t="s">
        <v>9</v>
      </c>
      <c r="G1" s="0" t="s">
        <v>10</v>
      </c>
      <c r="H1" s="0" t="s">
        <v>11</v>
      </c>
      <c r="I1" s="0" t="s">
        <v>12</v>
      </c>
      <c r="J1" s="0" t="s">
        <v>13</v>
      </c>
      <c r="K1" s="0" t="s">
        <v>14</v>
      </c>
      <c r="L1" s="0" t="s">
        <v>15</v>
      </c>
      <c r="M1" s="0" t="s">
        <v>16</v>
      </c>
      <c r="N1" s="0" t="s">
        <v>17</v>
      </c>
      <c r="O1" s="0" t="s">
        <v>18</v>
      </c>
      <c r="P1" s="0" t="s">
        <v>19</v>
      </c>
      <c r="Q1" s="0" t="s">
        <v>20</v>
      </c>
      <c r="R1" s="0" t="s">
        <v>21</v>
      </c>
      <c r="S1" s="0" t="s">
        <v>22</v>
      </c>
      <c r="T1" s="0" t="s">
        <v>23</v>
      </c>
      <c r="U1" s="0" t="s">
        <v>24</v>
      </c>
      <c r="V1" s="0" t="s">
        <v>25</v>
      </c>
      <c r="W1" s="0" t="s">
        <v>26</v>
      </c>
      <c r="X1" s="0" t="s">
        <v>27</v>
      </c>
      <c r="Y1" s="0" t="s">
        <v>28</v>
      </c>
      <c r="Z1" s="0" t="s">
        <v>29</v>
      </c>
      <c r="AA1" s="0" t="s">
        <v>30</v>
      </c>
      <c r="AB1" s="0" t="s">
        <v>31</v>
      </c>
      <c r="AC1" s="0" t="s">
        <v>32</v>
      </c>
      <c r="AD1" s="0" t="s">
        <v>33</v>
      </c>
      <c r="AE1" s="0" t="s">
        <v>34</v>
      </c>
      <c r="AF1" s="0" t="s">
        <v>35</v>
      </c>
      <c r="AG1" s="0" t="s">
        <v>36</v>
      </c>
      <c r="AH1" s="0" t="s">
        <v>37</v>
      </c>
      <c r="AI1" s="0" t="s">
        <v>38</v>
      </c>
      <c r="AJ1" s="0" t="s">
        <v>39</v>
      </c>
      <c r="AK1" s="0" t="s">
        <v>40</v>
      </c>
      <c r="AL1" s="0" t="s">
        <v>41</v>
      </c>
      <c r="AM1" s="0" t="s">
        <v>42</v>
      </c>
      <c r="AN1" s="0" t="s">
        <v>43</v>
      </c>
      <c r="AO1" s="0" t="s">
        <v>44</v>
      </c>
      <c r="AP1" s="0" t="s">
        <v>45</v>
      </c>
      <c r="AQ1" s="0" t="s">
        <v>46</v>
      </c>
      <c r="AR1" s="0" t="s">
        <v>47</v>
      </c>
      <c r="AS1" s="0" t="s">
        <v>48</v>
      </c>
      <c r="AT1" s="0" t="s">
        <v>49</v>
      </c>
      <c r="AU1" s="0" t="s">
        <v>50</v>
      </c>
      <c r="AV1" s="0" t="s">
        <v>51</v>
      </c>
      <c r="AW1" s="0" t="s">
        <v>52</v>
      </c>
      <c r="AX1" s="0" t="s">
        <v>53</v>
      </c>
      <c r="AY1" s="0" t="s">
        <v>54</v>
      </c>
      <c r="AZ1" s="0" t="s">
        <v>55</v>
      </c>
      <c r="BA1" s="0" t="s">
        <v>56</v>
      </c>
      <c r="BB1" s="0" t="s">
        <v>57</v>
      </c>
      <c r="BC1" s="0" t="s">
        <v>58</v>
      </c>
      <c r="BD1" s="0" t="s">
        <v>59</v>
      </c>
      <c r="BE1" s="0" t="s">
        <v>60</v>
      </c>
      <c r="BF1" s="0" t="s">
        <v>61</v>
      </c>
      <c r="BG1" s="0" t="s">
        <v>62</v>
      </c>
      <c r="BH1" s="0" t="s">
        <v>63</v>
      </c>
      <c r="BI1" s="0" t="s">
        <v>64</v>
      </c>
      <c r="BJ1" s="0" t="s">
        <v>65</v>
      </c>
      <c r="BK1" s="0" t="s">
        <v>66</v>
      </c>
      <c r="BL1" s="0" t="s">
        <v>67</v>
      </c>
      <c r="BM1" s="0" t="s">
        <v>68</v>
      </c>
      <c r="BN1" s="0" t="s">
        <v>69</v>
      </c>
      <c r="BO1" s="0" t="s">
        <v>70</v>
      </c>
      <c r="BP1" s="0" t="s">
        <v>71</v>
      </c>
      <c r="BQ1" s="0" t="s">
        <v>72</v>
      </c>
      <c r="BR1" s="0" t="s">
        <v>73</v>
      </c>
      <c r="BS1" s="0" t="s">
        <v>74</v>
      </c>
      <c r="BT1" s="0" t="s">
        <v>75</v>
      </c>
      <c r="BU1" s="0" t="s">
        <v>76</v>
      </c>
      <c r="BV1" s="0" t="s">
        <v>77</v>
      </c>
      <c r="BW1" s="0" t="s">
        <v>78</v>
      </c>
      <c r="BX1" s="0" t="s">
        <v>79</v>
      </c>
    </row>
    <row r="2">
      <c r="A2" s="0">
        <v>1980</v>
      </c>
      <c r="B2" s="0">
        <v>0</v>
      </c>
      <c r="C2" s="0">
        <v>0.015836</v>
      </c>
      <c r="D2" s="0">
        <v>0</v>
      </c>
      <c r="E2" s="0">
        <v>0</v>
      </c>
      <c r="F2" s="0">
        <v>0</v>
      </c>
      <c r="G2" s="0">
        <v>0</v>
      </c>
      <c r="H2" s="0">
        <v>0</v>
      </c>
      <c r="I2" s="0">
        <v>0</v>
      </c>
      <c r="J2" s="0">
        <v>0</v>
      </c>
      <c r="K2" s="0">
        <v>0</v>
      </c>
      <c r="L2" s="0">
        <v>0</v>
      </c>
      <c r="M2" s="0">
        <v>0.015836</v>
      </c>
      <c r="N2" s="0">
        <v>0</v>
      </c>
      <c r="O2" s="0">
        <v>0.015836</v>
      </c>
      <c r="P2" s="0">
        <v>7.365982</v>
      </c>
      <c r="Q2" s="0">
        <v>11.567122</v>
      </c>
      <c r="R2" s="0">
        <v>10.8755</v>
      </c>
      <c r="S2" s="0">
        <v>6.3895</v>
      </c>
      <c r="T2" s="0">
        <v>17.2385</v>
      </c>
      <c r="U2" s="0">
        <v>0.5</v>
      </c>
      <c r="V2" s="0">
        <v>7.365284</v>
      </c>
      <c r="W2" s="0">
        <v>0.015836</v>
      </c>
      <c r="X2" s="0">
        <v>7.349448</v>
      </c>
      <c r="Y2" s="0">
        <v>99.784989</v>
      </c>
      <c r="Z2" s="0">
        <v>0.794736</v>
      </c>
      <c r="AA2" s="0">
        <v>0.182728</v>
      </c>
      <c r="AB2" s="0">
        <v>0.977464</v>
      </c>
      <c r="AC2" s="0">
        <v>0.013659</v>
      </c>
      <c r="AD2" s="0">
        <v>0.018185</v>
      </c>
      <c r="AE2" s="0">
        <v>0</v>
      </c>
      <c r="AF2" s="0">
        <v>0</v>
      </c>
      <c r="AG2" s="0">
        <v>0</v>
      </c>
      <c r="AH2" s="0">
        <v>0</v>
      </c>
      <c r="AI2" s="0">
        <v>0</v>
      </c>
      <c r="AJ2" s="0">
        <v>0</v>
      </c>
      <c r="AK2" s="0">
        <v>0</v>
      </c>
      <c r="AL2" s="0">
        <v>0</v>
      </c>
      <c r="AM2" s="0">
        <v>0.013659</v>
      </c>
      <c r="AN2" s="0">
        <v>0.018185</v>
      </c>
      <c r="AO2" s="0">
        <v>0.013659</v>
      </c>
      <c r="AP2" s="0">
        <v>0.018185</v>
      </c>
      <c r="AQ2" s="0">
        <v>6.377966</v>
      </c>
      <c r="AR2" s="0">
        <v>8.439847</v>
      </c>
      <c r="AS2" s="0">
        <v>6.377364</v>
      </c>
      <c r="AT2" s="0">
        <v>8.439045</v>
      </c>
      <c r="AU2" s="0">
        <v>0.013659</v>
      </c>
      <c r="AV2" s="0">
        <v>0.018185</v>
      </c>
      <c r="AW2" s="0">
        <v>6.363705</v>
      </c>
      <c r="AX2" s="0">
        <v>8.420861</v>
      </c>
      <c r="AY2" s="0">
        <v>99.784243</v>
      </c>
      <c r="AZ2" s="0">
        <v>99.785909</v>
      </c>
      <c r="BA2" s="0">
        <v>0</v>
      </c>
      <c r="BB2" s="0">
        <v>0</v>
      </c>
      <c r="BC2" s="0">
        <v>0</v>
      </c>
      <c r="BD2" s="0">
        <v>0</v>
      </c>
      <c r="BE2" s="0">
        <v>0</v>
      </c>
      <c r="BF2" s="0">
        <v>0</v>
      </c>
      <c r="BG2" s="0">
        <v>0</v>
      </c>
      <c r="BH2" s="0">
        <v>0</v>
      </c>
      <c r="BI2" s="0">
        <v>11.567122</v>
      </c>
      <c r="BJ2" s="0">
        <v>11.567122</v>
      </c>
      <c r="BK2" s="0">
        <v>10.8755</v>
      </c>
      <c r="BL2" s="0">
        <v>10.8755</v>
      </c>
      <c r="BM2" s="0">
        <v>6.3895</v>
      </c>
      <c r="BN2" s="0">
        <v>6.3895</v>
      </c>
      <c r="BO2" s="0">
        <v>17.2385</v>
      </c>
      <c r="BP2" s="0">
        <v>17.2385</v>
      </c>
      <c r="BQ2" s="0">
        <v>0.5</v>
      </c>
      <c r="BR2" s="0">
        <v>0.5</v>
      </c>
      <c r="BS2" s="0">
        <v>0.687122</v>
      </c>
      <c r="BT2" s="0">
        <v>0.911364</v>
      </c>
      <c r="BU2" s="0">
        <v>0.157933</v>
      </c>
      <c r="BV2" s="0">
        <v>0.209582</v>
      </c>
      <c r="BW2" s="0">
        <v>0.845055</v>
      </c>
      <c r="BX2" s="0">
        <v>1.120946</v>
      </c>
    </row>
    <row r="3">
      <c r="A3" s="0">
        <v>1981</v>
      </c>
      <c r="B3" s="0">
        <v>0</v>
      </c>
      <c r="C3" s="0">
        <v>0.205451</v>
      </c>
      <c r="D3" s="0">
        <v>0</v>
      </c>
      <c r="E3" s="0">
        <v>0</v>
      </c>
      <c r="F3" s="0">
        <v>0</v>
      </c>
      <c r="G3" s="0">
        <v>0</v>
      </c>
      <c r="H3" s="0">
        <v>0</v>
      </c>
      <c r="I3" s="0">
        <v>0</v>
      </c>
      <c r="J3" s="0">
        <v>0</v>
      </c>
      <c r="K3" s="0">
        <v>0</v>
      </c>
      <c r="L3" s="0">
        <v>0</v>
      </c>
      <c r="M3" s="0">
        <v>0.205451</v>
      </c>
      <c r="N3" s="0">
        <v>0</v>
      </c>
      <c r="O3" s="0">
        <v>0.205451</v>
      </c>
      <c r="P3" s="0">
        <v>20.788321</v>
      </c>
      <c r="Q3" s="0">
        <v>11.567122</v>
      </c>
      <c r="R3" s="0">
        <v>10.8755</v>
      </c>
      <c r="S3" s="0">
        <v>6.3895</v>
      </c>
      <c r="T3" s="0">
        <v>17.2385</v>
      </c>
      <c r="U3" s="0">
        <v>1.140858</v>
      </c>
      <c r="V3" s="0">
        <v>28.144546</v>
      </c>
      <c r="W3" s="0">
        <v>0.221287</v>
      </c>
      <c r="X3" s="0">
        <v>27.923259</v>
      </c>
      <c r="Y3" s="0">
        <v>99.213748</v>
      </c>
      <c r="Z3" s="0">
        <v>4.015899</v>
      </c>
      <c r="AA3" s="0">
        <v>1.088106</v>
      </c>
      <c r="AB3" s="0">
        <v>5.104005</v>
      </c>
      <c r="AC3" s="0">
        <v>0.178395</v>
      </c>
      <c r="AD3" s="0">
        <v>0.235024</v>
      </c>
      <c r="AE3" s="0">
        <v>0</v>
      </c>
      <c r="AF3" s="0">
        <v>0</v>
      </c>
      <c r="AG3" s="0">
        <v>0</v>
      </c>
      <c r="AH3" s="0">
        <v>0</v>
      </c>
      <c r="AI3" s="0">
        <v>0</v>
      </c>
      <c r="AJ3" s="0">
        <v>0</v>
      </c>
      <c r="AK3" s="0">
        <v>0</v>
      </c>
      <c r="AL3" s="0">
        <v>0</v>
      </c>
      <c r="AM3" s="0">
        <v>0.178395</v>
      </c>
      <c r="AN3" s="0">
        <v>0.235024</v>
      </c>
      <c r="AO3" s="0">
        <v>0.178395</v>
      </c>
      <c r="AP3" s="0">
        <v>0.235024</v>
      </c>
      <c r="AQ3" s="0">
        <v>18.237917</v>
      </c>
      <c r="AR3" s="0">
        <v>23.63894</v>
      </c>
      <c r="AS3" s="0">
        <v>24.607415</v>
      </c>
      <c r="AT3" s="0">
        <v>32.067623</v>
      </c>
      <c r="AU3" s="0">
        <v>0.192054</v>
      </c>
      <c r="AV3" s="0">
        <v>0.253209</v>
      </c>
      <c r="AW3" s="0">
        <v>24.415361</v>
      </c>
      <c r="AX3" s="0">
        <v>31.814414</v>
      </c>
      <c r="AY3" s="0">
        <v>99.208495</v>
      </c>
      <c r="AZ3" s="0">
        <v>99.220146</v>
      </c>
      <c r="BA3" s="0">
        <v>0</v>
      </c>
      <c r="BB3" s="0">
        <v>0</v>
      </c>
      <c r="BC3" s="0">
        <v>0</v>
      </c>
      <c r="BD3" s="0">
        <v>0</v>
      </c>
      <c r="BE3" s="0">
        <v>0</v>
      </c>
      <c r="BF3" s="0">
        <v>0</v>
      </c>
      <c r="BG3" s="0">
        <v>0</v>
      </c>
      <c r="BH3" s="0">
        <v>0</v>
      </c>
      <c r="BI3" s="0">
        <v>11.567122</v>
      </c>
      <c r="BJ3" s="0">
        <v>11.567122</v>
      </c>
      <c r="BK3" s="0">
        <v>10.8755</v>
      </c>
      <c r="BL3" s="0">
        <v>10.8755</v>
      </c>
      <c r="BM3" s="0">
        <v>6.3895</v>
      </c>
      <c r="BN3" s="0">
        <v>6.3895</v>
      </c>
      <c r="BO3" s="0">
        <v>17.2385</v>
      </c>
      <c r="BP3" s="0">
        <v>17.2385</v>
      </c>
      <c r="BQ3" s="0">
        <v>1.138366</v>
      </c>
      <c r="BR3" s="0">
        <v>1.142883</v>
      </c>
      <c r="BS3" s="0">
        <v>3.503256</v>
      </c>
      <c r="BT3" s="0">
        <v>4.581689</v>
      </c>
      <c r="BU3" s="0">
        <v>0.948112</v>
      </c>
      <c r="BV3" s="0">
        <v>1.242234</v>
      </c>
      <c r="BW3" s="0">
        <v>4.4513679999999995</v>
      </c>
      <c r="BX3" s="0">
        <v>5.823923</v>
      </c>
    </row>
    <row r="4">
      <c r="A4" s="0">
        <v>1982</v>
      </c>
      <c r="B4" s="0">
        <v>0</v>
      </c>
      <c r="C4" s="0">
        <v>0.754715</v>
      </c>
      <c r="D4" s="0">
        <v>0</v>
      </c>
      <c r="E4" s="0">
        <v>0</v>
      </c>
      <c r="F4" s="0">
        <v>0</v>
      </c>
      <c r="G4" s="0">
        <v>0</v>
      </c>
      <c r="H4" s="0">
        <v>0</v>
      </c>
      <c r="I4" s="0">
        <v>0</v>
      </c>
      <c r="J4" s="0">
        <v>0</v>
      </c>
      <c r="K4" s="0">
        <v>0</v>
      </c>
      <c r="L4" s="0">
        <v>0</v>
      </c>
      <c r="M4" s="0">
        <v>0.754715</v>
      </c>
      <c r="N4" s="0">
        <v>0</v>
      </c>
      <c r="O4" s="0">
        <v>0.754715</v>
      </c>
      <c r="P4" s="0">
        <v>32.363801</v>
      </c>
      <c r="Q4" s="0">
        <v>11.567122</v>
      </c>
      <c r="R4" s="0">
        <v>10.8755</v>
      </c>
      <c r="S4" s="0">
        <v>6.3895</v>
      </c>
      <c r="T4" s="0">
        <v>17.2385</v>
      </c>
      <c r="U4" s="0">
        <v>1.634138</v>
      </c>
      <c r="V4" s="0">
        <v>60.47507</v>
      </c>
      <c r="W4" s="0">
        <v>0.976002</v>
      </c>
      <c r="X4" s="0">
        <v>59.499068</v>
      </c>
      <c r="Y4" s="0">
        <v>98.386108</v>
      </c>
      <c r="Z4" s="0">
        <v>9.806725</v>
      </c>
      <c r="AA4" s="0">
        <v>3.019337</v>
      </c>
      <c r="AB4" s="0">
        <v>12.826062</v>
      </c>
      <c r="AC4" s="0">
        <v>0.660355</v>
      </c>
      <c r="AD4" s="0">
        <v>0.859539</v>
      </c>
      <c r="AE4" s="0">
        <v>0</v>
      </c>
      <c r="AF4" s="0">
        <v>0</v>
      </c>
      <c r="AG4" s="0">
        <v>0</v>
      </c>
      <c r="AH4" s="0">
        <v>0</v>
      </c>
      <c r="AI4" s="0">
        <v>0</v>
      </c>
      <c r="AJ4" s="0">
        <v>0</v>
      </c>
      <c r="AK4" s="0">
        <v>0</v>
      </c>
      <c r="AL4" s="0">
        <v>0</v>
      </c>
      <c r="AM4" s="0">
        <v>0.660355</v>
      </c>
      <c r="AN4" s="0">
        <v>0.859539</v>
      </c>
      <c r="AO4" s="0">
        <v>0.660355</v>
      </c>
      <c r="AP4" s="0">
        <v>0.859539</v>
      </c>
      <c r="AQ4" s="0">
        <v>28.820521</v>
      </c>
      <c r="AR4" s="0">
        <v>36.476274</v>
      </c>
      <c r="AS4" s="0">
        <v>53.39882</v>
      </c>
      <c r="AT4" s="0">
        <v>68.505998</v>
      </c>
      <c r="AU4" s="0">
        <v>0.852409</v>
      </c>
      <c r="AV4" s="0">
        <v>1.112748</v>
      </c>
      <c r="AW4" s="0">
        <v>52.546411</v>
      </c>
      <c r="AX4" s="0">
        <v>67.39325</v>
      </c>
      <c r="AY4" s="0">
        <v>98.369917</v>
      </c>
      <c r="AZ4" s="0">
        <v>98.405627</v>
      </c>
      <c r="BA4" s="0">
        <v>0</v>
      </c>
      <c r="BB4" s="0">
        <v>0</v>
      </c>
      <c r="BC4" s="0">
        <v>0</v>
      </c>
      <c r="BD4" s="0">
        <v>0</v>
      </c>
      <c r="BE4" s="0">
        <v>0</v>
      </c>
      <c r="BF4" s="0">
        <v>0</v>
      </c>
      <c r="BG4" s="0">
        <v>0</v>
      </c>
      <c r="BH4" s="0">
        <v>0</v>
      </c>
      <c r="BI4" s="0">
        <v>11.567122</v>
      </c>
      <c r="BJ4" s="0">
        <v>11.567122</v>
      </c>
      <c r="BK4" s="0">
        <v>10.8755</v>
      </c>
      <c r="BL4" s="0">
        <v>10.8755</v>
      </c>
      <c r="BM4" s="0">
        <v>6.3895</v>
      </c>
      <c r="BN4" s="0">
        <v>6.3895</v>
      </c>
      <c r="BO4" s="0">
        <v>17.2385</v>
      </c>
      <c r="BP4" s="0">
        <v>17.2385</v>
      </c>
      <c r="BQ4" s="0">
        <v>1.628119</v>
      </c>
      <c r="BR4" s="0">
        <v>1.639065</v>
      </c>
      <c r="BS4" s="0">
        <v>8.633775</v>
      </c>
      <c r="BT4" s="0">
        <v>11.128415</v>
      </c>
      <c r="BU4" s="0">
        <v>2.652378</v>
      </c>
      <c r="BV4" s="0">
        <v>3.43069</v>
      </c>
      <c r="BW4" s="0">
        <v>11.286153</v>
      </c>
      <c r="BX4" s="0">
        <v>14.559105</v>
      </c>
    </row>
    <row r="5">
      <c r="A5" s="0">
        <v>1983</v>
      </c>
      <c r="B5" s="0">
        <v>0</v>
      </c>
      <c r="C5" s="0">
        <v>1.764642</v>
      </c>
      <c r="D5" s="0">
        <v>0</v>
      </c>
      <c r="E5" s="0">
        <v>0</v>
      </c>
      <c r="F5" s="0">
        <v>0</v>
      </c>
      <c r="G5" s="0">
        <v>0</v>
      </c>
      <c r="H5" s="0">
        <v>0</v>
      </c>
      <c r="I5" s="0">
        <v>0</v>
      </c>
      <c r="J5" s="0">
        <v>0</v>
      </c>
      <c r="K5" s="0">
        <v>0</v>
      </c>
      <c r="L5" s="0">
        <v>0</v>
      </c>
      <c r="M5" s="0">
        <v>1.764642</v>
      </c>
      <c r="N5" s="0">
        <v>0</v>
      </c>
      <c r="O5" s="0">
        <v>1.764642</v>
      </c>
      <c r="P5" s="0">
        <v>42.249195</v>
      </c>
      <c r="Q5" s="0">
        <v>11.567122</v>
      </c>
      <c r="R5" s="0">
        <v>10.8755</v>
      </c>
      <c r="S5" s="0">
        <v>6.3895</v>
      </c>
      <c r="T5" s="0">
        <v>17.2385</v>
      </c>
      <c r="U5" s="0">
        <v>2.114849</v>
      </c>
      <c r="V5" s="0">
        <v>102.646459</v>
      </c>
      <c r="W5" s="0">
        <v>2.740644</v>
      </c>
      <c r="X5" s="0">
        <v>99.905815</v>
      </c>
      <c r="Y5" s="0">
        <v>97.330016</v>
      </c>
      <c r="Z5" s="0">
        <v>18.028825</v>
      </c>
      <c r="AA5" s="0">
        <v>6.147535</v>
      </c>
      <c r="AB5" s="0">
        <v>24.176360000000003</v>
      </c>
      <c r="AC5" s="0">
        <v>1.556342</v>
      </c>
      <c r="AD5" s="0">
        <v>2.000354</v>
      </c>
      <c r="AE5" s="0">
        <v>0</v>
      </c>
      <c r="AF5" s="0">
        <v>0</v>
      </c>
      <c r="AG5" s="0">
        <v>0</v>
      </c>
      <c r="AH5" s="0">
        <v>0</v>
      </c>
      <c r="AI5" s="0">
        <v>0</v>
      </c>
      <c r="AJ5" s="0">
        <v>0</v>
      </c>
      <c r="AK5" s="0">
        <v>0</v>
      </c>
      <c r="AL5" s="0">
        <v>0</v>
      </c>
      <c r="AM5" s="0">
        <v>1.556342</v>
      </c>
      <c r="AN5" s="0">
        <v>2.000354</v>
      </c>
      <c r="AO5" s="0">
        <v>1.556342</v>
      </c>
      <c r="AP5" s="0">
        <v>2.000354</v>
      </c>
      <c r="AQ5" s="0">
        <v>38.214615</v>
      </c>
      <c r="AR5" s="0">
        <v>47.16404</v>
      </c>
      <c r="AS5" s="0">
        <v>91.544813</v>
      </c>
      <c r="AT5" s="0">
        <v>115.581839</v>
      </c>
      <c r="AU5" s="0">
        <v>2.408751</v>
      </c>
      <c r="AV5" s="0">
        <v>3.113102</v>
      </c>
      <c r="AW5" s="0">
        <v>89.136062</v>
      </c>
      <c r="AX5" s="0">
        <v>112.468737</v>
      </c>
      <c r="AY5" s="0">
        <v>97.293863</v>
      </c>
      <c r="AZ5" s="0">
        <v>97.372876</v>
      </c>
      <c r="BA5" s="0">
        <v>0</v>
      </c>
      <c r="BB5" s="0">
        <v>0</v>
      </c>
      <c r="BC5" s="0">
        <v>0</v>
      </c>
      <c r="BD5" s="0">
        <v>0</v>
      </c>
      <c r="BE5" s="0">
        <v>0</v>
      </c>
      <c r="BF5" s="0">
        <v>0</v>
      </c>
      <c r="BG5" s="0">
        <v>0</v>
      </c>
      <c r="BH5" s="0">
        <v>0</v>
      </c>
      <c r="BI5" s="0">
        <v>11.567122</v>
      </c>
      <c r="BJ5" s="0">
        <v>11.567122</v>
      </c>
      <c r="BK5" s="0">
        <v>10.8755</v>
      </c>
      <c r="BL5" s="0">
        <v>10.8755</v>
      </c>
      <c r="BM5" s="0">
        <v>6.3895</v>
      </c>
      <c r="BN5" s="0">
        <v>6.3895</v>
      </c>
      <c r="BO5" s="0">
        <v>17.2385</v>
      </c>
      <c r="BP5" s="0">
        <v>17.2385</v>
      </c>
      <c r="BQ5" s="0">
        <v>2.1034</v>
      </c>
      <c r="BR5" s="0">
        <v>2.124307</v>
      </c>
      <c r="BS5" s="0">
        <v>16.021414</v>
      </c>
      <c r="BT5" s="0">
        <v>20.344828</v>
      </c>
      <c r="BU5" s="0">
        <v>5.44492</v>
      </c>
      <c r="BV5" s="0">
        <v>6.951087</v>
      </c>
      <c r="BW5" s="0">
        <v>21.466334</v>
      </c>
      <c r="BX5" s="0">
        <v>27.295915</v>
      </c>
    </row>
    <row r="6">
      <c r="A6" s="0">
        <v>1984</v>
      </c>
      <c r="B6" s="0">
        <v>10.325122</v>
      </c>
      <c r="C6" s="0">
        <v>32.966519</v>
      </c>
      <c r="D6" s="0">
        <v>1</v>
      </c>
      <c r="E6" s="0">
        <v>0</v>
      </c>
      <c r="F6" s="0">
        <v>0</v>
      </c>
      <c r="G6" s="0">
        <v>1</v>
      </c>
      <c r="H6" s="0">
        <v>4.178739</v>
      </c>
      <c r="I6" s="0">
        <v>0.76532</v>
      </c>
      <c r="J6" s="0">
        <v>0.836949</v>
      </c>
      <c r="K6" s="0">
        <v>0.514034</v>
      </c>
      <c r="L6" s="0">
        <v>0.764824</v>
      </c>
      <c r="M6" s="0">
        <v>3.384623</v>
      </c>
      <c r="N6" s="0">
        <v>0.764824</v>
      </c>
      <c r="O6" s="0">
        <v>2.875273</v>
      </c>
      <c r="P6" s="0">
        <v>50.601279</v>
      </c>
      <c r="Q6" s="0">
        <v>3.205334</v>
      </c>
      <c r="R6" s="0">
        <v>2.3495</v>
      </c>
      <c r="S6" s="0">
        <v>1.0965</v>
      </c>
      <c r="T6" s="0">
        <v>4.5425</v>
      </c>
      <c r="U6" s="0">
        <v>2.152165</v>
      </c>
      <c r="V6" s="0">
        <v>153.120962</v>
      </c>
      <c r="W6" s="0">
        <v>35.707164</v>
      </c>
      <c r="X6" s="0">
        <v>117.413798</v>
      </c>
      <c r="Y6" s="0">
        <v>76.680421</v>
      </c>
      <c r="Z6" s="0">
        <v>24.266773</v>
      </c>
      <c r="AA6" s="0">
        <v>8.04305</v>
      </c>
      <c r="AB6" s="0">
        <v>32.309823</v>
      </c>
      <c r="AC6" s="0">
        <v>25.992491</v>
      </c>
      <c r="AD6" s="0">
        <v>45.685478</v>
      </c>
      <c r="AE6" s="0">
        <v>0.7276</v>
      </c>
      <c r="AF6" s="0">
        <v>7.846516</v>
      </c>
      <c r="AG6" s="0">
        <v>0</v>
      </c>
      <c r="AH6" s="0">
        <v>1.8888</v>
      </c>
      <c r="AI6" s="0">
        <v>0</v>
      </c>
      <c r="AJ6" s="0">
        <v>1.883874</v>
      </c>
      <c r="AK6" s="0">
        <v>0</v>
      </c>
      <c r="AL6" s="0">
        <v>1.229396</v>
      </c>
      <c r="AM6" s="0">
        <v>2.945387</v>
      </c>
      <c r="AN6" s="0">
        <v>3.833691</v>
      </c>
      <c r="AO6" s="0">
        <v>2.297808</v>
      </c>
      <c r="AP6" s="0">
        <v>3.452544</v>
      </c>
      <c r="AQ6" s="0">
        <v>46.452623</v>
      </c>
      <c r="AR6" s="0">
        <v>55.914428</v>
      </c>
      <c r="AS6" s="0">
        <v>137.941968</v>
      </c>
      <c r="AT6" s="0">
        <v>171.357396</v>
      </c>
      <c r="AU6" s="0">
        <v>28.746264</v>
      </c>
      <c r="AV6" s="0">
        <v>48.293846</v>
      </c>
      <c r="AW6" s="0">
        <v>94.744263</v>
      </c>
      <c r="AX6" s="0">
        <v>136.912382</v>
      </c>
      <c r="AY6" s="0">
        <v>66.199216</v>
      </c>
      <c r="AZ6" s="0">
        <v>81.344727</v>
      </c>
      <c r="BA6" s="0">
        <v>0.216652</v>
      </c>
      <c r="BB6" s="0">
        <v>0.885328</v>
      </c>
      <c r="BC6" s="0">
        <v>-0.013835</v>
      </c>
      <c r="BD6" s="0">
        <v>0.441763</v>
      </c>
      <c r="BE6" s="0">
        <v>-0.017509</v>
      </c>
      <c r="BF6" s="0">
        <v>0.455704</v>
      </c>
      <c r="BG6" s="0">
        <v>-0.0502</v>
      </c>
      <c r="BH6" s="0">
        <v>0.897787</v>
      </c>
      <c r="BI6" s="0">
        <v>2.143008</v>
      </c>
      <c r="BJ6" s="0">
        <v>4.377655</v>
      </c>
      <c r="BK6" s="0">
        <v>1.4715</v>
      </c>
      <c r="BL6" s="0">
        <v>3.1815</v>
      </c>
      <c r="BM6" s="0">
        <v>0.7145</v>
      </c>
      <c r="BN6" s="0">
        <v>1.4565</v>
      </c>
      <c r="BO6" s="0">
        <v>2.9345</v>
      </c>
      <c r="BP6" s="0">
        <v>6.4315</v>
      </c>
      <c r="BQ6" s="0">
        <v>2.090114</v>
      </c>
      <c r="BR6" s="0">
        <v>2.227403</v>
      </c>
      <c r="BS6" s="0">
        <v>19.499795</v>
      </c>
      <c r="BT6" s="0">
        <v>27.902438</v>
      </c>
      <c r="BU6" s="0">
        <v>5.546068</v>
      </c>
      <c r="BV6" s="0">
        <v>10.363602</v>
      </c>
      <c r="BW6" s="0">
        <v>25.045862999999997</v>
      </c>
      <c r="BX6" s="0">
        <v>38.266040000000004</v>
      </c>
    </row>
    <row r="7">
      <c r="A7" s="0">
        <v>1985</v>
      </c>
      <c r="B7" s="0">
        <v>63.152877</v>
      </c>
      <c r="C7" s="0">
        <v>37.974772</v>
      </c>
      <c r="D7" s="0">
        <v>6</v>
      </c>
      <c r="E7" s="0">
        <v>2</v>
      </c>
      <c r="F7" s="0">
        <v>3</v>
      </c>
      <c r="G7" s="0">
        <v>2</v>
      </c>
      <c r="H7" s="0">
        <v>4.886978</v>
      </c>
      <c r="I7" s="0">
        <v>1.148247</v>
      </c>
      <c r="J7" s="0">
        <v>1.238856</v>
      </c>
      <c r="K7" s="0">
        <v>0.796335</v>
      </c>
      <c r="L7" s="0">
        <v>8.778006</v>
      </c>
      <c r="M7" s="0">
        <v>5.526802</v>
      </c>
      <c r="N7" s="0">
        <v>7.965228</v>
      </c>
      <c r="O7" s="0">
        <v>3.714214</v>
      </c>
      <c r="P7" s="0">
        <v>57.576824</v>
      </c>
      <c r="Q7" s="0">
        <v>3.182596</v>
      </c>
      <c r="R7" s="0">
        <v>2.3445</v>
      </c>
      <c r="S7" s="0">
        <v>1.0995</v>
      </c>
      <c r="T7" s="0">
        <v>4.5025</v>
      </c>
      <c r="U7" s="0">
        <v>2.372418</v>
      </c>
      <c r="V7" s="0">
        <v>209.39841</v>
      </c>
      <c r="W7" s="0">
        <v>72.546326</v>
      </c>
      <c r="X7" s="0">
        <v>136.852084</v>
      </c>
      <c r="Y7" s="0">
        <v>65.354882</v>
      </c>
      <c r="Z7" s="0">
        <v>30.556817</v>
      </c>
      <c r="AA7" s="0">
        <v>10.139653</v>
      </c>
      <c r="AB7" s="0">
        <v>40.69647</v>
      </c>
      <c r="AC7" s="0">
        <v>32.406656</v>
      </c>
      <c r="AD7" s="0">
        <v>46.350059</v>
      </c>
      <c r="AE7" s="0">
        <v>1.377689</v>
      </c>
      <c r="AF7" s="0">
        <v>7.594548</v>
      </c>
      <c r="AG7" s="0">
        <v>0.19662</v>
      </c>
      <c r="AH7" s="0">
        <v>2.578526</v>
      </c>
      <c r="AI7" s="0">
        <v>0.156608</v>
      </c>
      <c r="AJ7" s="0">
        <v>2.890701</v>
      </c>
      <c r="AK7" s="0">
        <v>0.130148</v>
      </c>
      <c r="AL7" s="0">
        <v>1.679746</v>
      </c>
      <c r="AM7" s="0">
        <v>4.882265</v>
      </c>
      <c r="AN7" s="0">
        <v>6.194656</v>
      </c>
      <c r="AO7" s="0">
        <v>2.434011</v>
      </c>
      <c r="AP7" s="0">
        <v>4.908818</v>
      </c>
      <c r="AQ7" s="0">
        <v>53.445279</v>
      </c>
      <c r="AR7" s="0">
        <v>62.338944</v>
      </c>
      <c r="AS7" s="0">
        <v>190.435206</v>
      </c>
      <c r="AT7" s="0">
        <v>232.981472</v>
      </c>
      <c r="AU7" s="0">
        <v>60.517769</v>
      </c>
      <c r="AV7" s="0">
        <v>93.901392</v>
      </c>
      <c r="AW7" s="0">
        <v>105.230863</v>
      </c>
      <c r="AX7" s="0">
        <v>162.849525</v>
      </c>
      <c r="AY7" s="0">
        <v>53.71963</v>
      </c>
      <c r="AZ7" s="0">
        <v>71.295994</v>
      </c>
      <c r="BA7" s="0">
        <v>0.227552</v>
      </c>
      <c r="BB7" s="0">
        <v>0.831909</v>
      </c>
      <c r="BC7" s="0">
        <v>0.017032</v>
      </c>
      <c r="BD7" s="0">
        <v>0.425971</v>
      </c>
      <c r="BE7" s="0">
        <v>0.01586</v>
      </c>
      <c r="BF7" s="0">
        <v>0.433828</v>
      </c>
      <c r="BG7" s="0">
        <v>0.027465</v>
      </c>
      <c r="BH7" s="0">
        <v>0.840146</v>
      </c>
      <c r="BI7" s="0">
        <v>2.196226</v>
      </c>
      <c r="BJ7" s="0">
        <v>4.067711</v>
      </c>
      <c r="BK7" s="0">
        <v>1.5265</v>
      </c>
      <c r="BL7" s="0">
        <v>3.0005</v>
      </c>
      <c r="BM7" s="0">
        <v>0.7385</v>
      </c>
      <c r="BN7" s="0">
        <v>1.4095</v>
      </c>
      <c r="BO7" s="0">
        <v>3.0175</v>
      </c>
      <c r="BP7" s="0">
        <v>5.9215</v>
      </c>
      <c r="BQ7" s="0">
        <v>2.188236</v>
      </c>
      <c r="BR7" s="0">
        <v>2.47387</v>
      </c>
      <c r="BS7" s="0">
        <v>23.140072</v>
      </c>
      <c r="BT7" s="0">
        <v>36.468672</v>
      </c>
      <c r="BU7" s="0">
        <v>6.381809</v>
      </c>
      <c r="BV7" s="0">
        <v>13.799128</v>
      </c>
      <c r="BW7" s="0">
        <v>29.521881</v>
      </c>
      <c r="BX7" s="0">
        <v>50.267799999999994</v>
      </c>
    </row>
    <row r="8">
      <c r="A8" s="0">
        <v>1986</v>
      </c>
      <c r="B8" s="0">
        <v>59.8484</v>
      </c>
      <c r="C8" s="0">
        <v>43.903892</v>
      </c>
      <c r="D8" s="0">
        <v>9</v>
      </c>
      <c r="E8" s="0">
        <v>1</v>
      </c>
      <c r="F8" s="0">
        <v>2</v>
      </c>
      <c r="G8" s="0">
        <v>2</v>
      </c>
      <c r="H8" s="0">
        <v>5.752108</v>
      </c>
      <c r="I8" s="0">
        <v>1.571727</v>
      </c>
      <c r="J8" s="0">
        <v>1.680135</v>
      </c>
      <c r="K8" s="0">
        <v>1.14334</v>
      </c>
      <c r="L8" s="0">
        <v>6.535707</v>
      </c>
      <c r="M8" s="0">
        <v>8.191251</v>
      </c>
      <c r="N8" s="0">
        <v>5.602034</v>
      </c>
      <c r="O8" s="0">
        <v>4.585702</v>
      </c>
      <c r="P8" s="0">
        <v>63.332605</v>
      </c>
      <c r="Q8" s="0">
        <v>3.163539</v>
      </c>
      <c r="R8" s="0">
        <v>2.3415</v>
      </c>
      <c r="S8" s="0">
        <v>1.1035</v>
      </c>
      <c r="T8" s="0">
        <v>4.4685</v>
      </c>
      <c r="U8" s="0">
        <v>2.54017</v>
      </c>
      <c r="V8" s="0">
        <v>268.92959</v>
      </c>
      <c r="W8" s="0">
        <v>112.850984</v>
      </c>
      <c r="X8" s="0">
        <v>156.078606</v>
      </c>
      <c r="Y8" s="0">
        <v>58.036978</v>
      </c>
      <c r="Z8" s="0">
        <v>36.476159</v>
      </c>
      <c r="AA8" s="0">
        <v>12.190045</v>
      </c>
      <c r="AB8" s="0">
        <v>48.666204</v>
      </c>
      <c r="AC8" s="0">
        <v>39.013021</v>
      </c>
      <c r="AD8" s="0">
        <v>49.791942</v>
      </c>
      <c r="AE8" s="0">
        <v>2.924512</v>
      </c>
      <c r="AF8" s="0">
        <v>9.661898</v>
      </c>
      <c r="AG8" s="0">
        <v>0.55531</v>
      </c>
      <c r="AH8" s="0">
        <v>3.092436</v>
      </c>
      <c r="AI8" s="0">
        <v>0.732273</v>
      </c>
      <c r="AJ8" s="0">
        <v>3.547256</v>
      </c>
      <c r="AK8" s="0">
        <v>0.379402</v>
      </c>
      <c r="AL8" s="0">
        <v>2.103585</v>
      </c>
      <c r="AM8" s="0">
        <v>7.345319</v>
      </c>
      <c r="AN8" s="0">
        <v>9.117172</v>
      </c>
      <c r="AO8" s="0">
        <v>2.874512</v>
      </c>
      <c r="AP8" s="0">
        <v>6.290528</v>
      </c>
      <c r="AQ8" s="0">
        <v>59.541067</v>
      </c>
      <c r="AR8" s="0">
        <v>68.065119</v>
      </c>
      <c r="AS8" s="0">
        <v>246.394839</v>
      </c>
      <c r="AT8" s="0">
        <v>297.603241</v>
      </c>
      <c r="AU8" s="0">
        <v>96.16804</v>
      </c>
      <c r="AV8" s="0">
        <v>139.049471</v>
      </c>
      <c r="AW8" s="0">
        <v>119.132637</v>
      </c>
      <c r="AX8" s="0">
        <v>185.600292</v>
      </c>
      <c r="AY8" s="0">
        <v>47.164153</v>
      </c>
      <c r="AZ8" s="0">
        <v>64.156523</v>
      </c>
      <c r="BA8" s="0">
        <v>0.238452</v>
      </c>
      <c r="BB8" s="0">
        <v>0.77849</v>
      </c>
      <c r="BC8" s="0">
        <v>0.053408</v>
      </c>
      <c r="BD8" s="0">
        <v>0.410179</v>
      </c>
      <c r="BE8" s="0">
        <v>0.050067</v>
      </c>
      <c r="BF8" s="0">
        <v>0.405359</v>
      </c>
      <c r="BG8" s="0">
        <v>0.087238</v>
      </c>
      <c r="BH8" s="0">
        <v>0.792886</v>
      </c>
      <c r="BI8" s="0">
        <v>2.255247</v>
      </c>
      <c r="BJ8" s="0">
        <v>3.847467</v>
      </c>
      <c r="BK8" s="0">
        <v>1.5865</v>
      </c>
      <c r="BL8" s="0">
        <v>2.9465</v>
      </c>
      <c r="BM8" s="0">
        <v>0.7665</v>
      </c>
      <c r="BN8" s="0">
        <v>1.3845</v>
      </c>
      <c r="BO8" s="0">
        <v>3.1085</v>
      </c>
      <c r="BP8" s="0">
        <v>5.5165</v>
      </c>
      <c r="BQ8" s="0">
        <v>2.227953</v>
      </c>
      <c r="BR8" s="0">
        <v>2.68568</v>
      </c>
      <c r="BS8" s="0">
        <v>26.689019</v>
      </c>
      <c r="BT8" s="0">
        <v>44.35776</v>
      </c>
      <c r="BU8" s="0">
        <v>7.674244</v>
      </c>
      <c r="BV8" s="0">
        <v>16.496391</v>
      </c>
      <c r="BW8" s="0">
        <v>34.363262999999996</v>
      </c>
      <c r="BX8" s="0">
        <v>60.854151</v>
      </c>
    </row>
    <row r="9">
      <c r="A9" s="0">
        <v>1987</v>
      </c>
      <c r="B9" s="0">
        <v>68.702147</v>
      </c>
      <c r="C9" s="0">
        <v>49.916402</v>
      </c>
      <c r="D9" s="0">
        <v>10.9</v>
      </c>
      <c r="E9" s="0">
        <v>3</v>
      </c>
      <c r="F9" s="0">
        <v>2</v>
      </c>
      <c r="G9" s="0">
        <v>0</v>
      </c>
      <c r="H9" s="0">
        <v>6.34219</v>
      </c>
      <c r="I9" s="0">
        <v>1.9319</v>
      </c>
      <c r="J9" s="0">
        <v>2.034736</v>
      </c>
      <c r="K9" s="0">
        <v>1.461253</v>
      </c>
      <c r="L9" s="0">
        <v>14.293096</v>
      </c>
      <c r="M9" s="0">
        <v>11.3297</v>
      </c>
      <c r="N9" s="0">
        <v>8.575857</v>
      </c>
      <c r="O9" s="0">
        <v>5.407524</v>
      </c>
      <c r="P9" s="0">
        <v>68.025396</v>
      </c>
      <c r="Q9" s="0">
        <v>3.148015</v>
      </c>
      <c r="R9" s="0">
        <v>2.3405</v>
      </c>
      <c r="S9" s="0">
        <v>1.1075</v>
      </c>
      <c r="T9" s="0">
        <v>4.4415</v>
      </c>
      <c r="U9" s="0">
        <v>2.687628</v>
      </c>
      <c r="V9" s="0">
        <v>331.562733</v>
      </c>
      <c r="W9" s="0">
        <v>157.61356</v>
      </c>
      <c r="X9" s="0">
        <v>173.949173</v>
      </c>
      <c r="Y9" s="0">
        <v>52.463427</v>
      </c>
      <c r="Z9" s="0">
        <v>41.828331</v>
      </c>
      <c r="AA9" s="0">
        <v>14.036774</v>
      </c>
      <c r="AB9" s="0">
        <v>55.865105</v>
      </c>
      <c r="AC9" s="0">
        <v>45.396554</v>
      </c>
      <c r="AD9" s="0">
        <v>54.776493</v>
      </c>
      <c r="AE9" s="0">
        <v>3.25426</v>
      </c>
      <c r="AF9" s="0">
        <v>10.569883</v>
      </c>
      <c r="AG9" s="0">
        <v>0.947524</v>
      </c>
      <c r="AH9" s="0">
        <v>3.789524</v>
      </c>
      <c r="AI9" s="0">
        <v>1.006161</v>
      </c>
      <c r="AJ9" s="0">
        <v>3.823155</v>
      </c>
      <c r="AK9" s="0">
        <v>0.714499</v>
      </c>
      <c r="AL9" s="0">
        <v>2.928681</v>
      </c>
      <c r="AM9" s="0">
        <v>10.290755</v>
      </c>
      <c r="AN9" s="0">
        <v>12.53728</v>
      </c>
      <c r="AO9" s="0">
        <v>3.453999</v>
      </c>
      <c r="AP9" s="0">
        <v>7.257183</v>
      </c>
      <c r="AQ9" s="0">
        <v>64.164302</v>
      </c>
      <c r="AR9" s="0">
        <v>72.66323</v>
      </c>
      <c r="AS9" s="0">
        <v>306.110974</v>
      </c>
      <c r="AT9" s="0">
        <v>363.016429</v>
      </c>
      <c r="AU9" s="0">
        <v>137.875698</v>
      </c>
      <c r="AV9" s="0">
        <v>187.515126</v>
      </c>
      <c r="AW9" s="0">
        <v>134.011585</v>
      </c>
      <c r="AX9" s="0">
        <v>205.326201</v>
      </c>
      <c r="AY9" s="0">
        <v>42.312811</v>
      </c>
      <c r="AZ9" s="0">
        <v>58.287322</v>
      </c>
      <c r="BA9" s="0">
        <v>0.249353</v>
      </c>
      <c r="BB9" s="0">
        <v>0.725071</v>
      </c>
      <c r="BC9" s="0">
        <v>0.085025</v>
      </c>
      <c r="BD9" s="0">
        <v>0.394388</v>
      </c>
      <c r="BE9" s="0">
        <v>0.084275</v>
      </c>
      <c r="BF9" s="0">
        <v>0.364877</v>
      </c>
      <c r="BG9" s="0">
        <v>0.147011</v>
      </c>
      <c r="BH9" s="0">
        <v>0.751463</v>
      </c>
      <c r="BI9" s="0">
        <v>2.320502</v>
      </c>
      <c r="BJ9" s="0">
        <v>3.751381</v>
      </c>
      <c r="BK9" s="0">
        <v>1.6535</v>
      </c>
      <c r="BL9" s="0">
        <v>2.8825</v>
      </c>
      <c r="BM9" s="0">
        <v>0.7965</v>
      </c>
      <c r="BN9" s="0">
        <v>1.3675</v>
      </c>
      <c r="BO9" s="0">
        <v>3.2065</v>
      </c>
      <c r="BP9" s="0">
        <v>5.3705</v>
      </c>
      <c r="BQ9" s="0">
        <v>2.301203</v>
      </c>
      <c r="BR9" s="0">
        <v>2.86557</v>
      </c>
      <c r="BS9" s="0">
        <v>30.456064</v>
      </c>
      <c r="BT9" s="0">
        <v>50.681015</v>
      </c>
      <c r="BU9" s="0">
        <v>9.250897</v>
      </c>
      <c r="BV9" s="0">
        <v>18.643035</v>
      </c>
      <c r="BW9" s="0">
        <v>39.706961</v>
      </c>
      <c r="BX9" s="0">
        <v>69.32405</v>
      </c>
    </row>
    <row r="10">
      <c r="A10" s="0">
        <v>1988</v>
      </c>
      <c r="B10" s="0">
        <v>70.760061</v>
      </c>
      <c r="C10" s="0">
        <v>55.570296</v>
      </c>
      <c r="D10" s="0">
        <v>11</v>
      </c>
      <c r="E10" s="0">
        <v>5</v>
      </c>
      <c r="F10" s="0">
        <v>3</v>
      </c>
      <c r="G10" s="0">
        <v>3</v>
      </c>
      <c r="H10" s="0">
        <v>9.25896</v>
      </c>
      <c r="I10" s="0">
        <v>3.081675</v>
      </c>
      <c r="J10" s="0">
        <v>3.182351</v>
      </c>
      <c r="K10" s="0">
        <v>2.393965</v>
      </c>
      <c r="L10" s="0">
        <v>13.066489</v>
      </c>
      <c r="M10" s="0">
        <v>14.868199</v>
      </c>
      <c r="N10" s="0">
        <v>10.051145</v>
      </c>
      <c r="O10" s="0">
        <v>6.12854</v>
      </c>
      <c r="P10" s="0">
        <v>71.811969</v>
      </c>
      <c r="Q10" s="0">
        <v>3.135902</v>
      </c>
      <c r="R10" s="0">
        <v>2.3405</v>
      </c>
      <c r="S10" s="0">
        <v>1.1115</v>
      </c>
      <c r="T10" s="0">
        <v>4.4185</v>
      </c>
      <c r="U10" s="0">
        <v>2.820968</v>
      </c>
      <c r="V10" s="0">
        <v>396.422247</v>
      </c>
      <c r="W10" s="0">
        <v>206.50162</v>
      </c>
      <c r="X10" s="0">
        <v>189.920628</v>
      </c>
      <c r="Y10" s="0">
        <v>47.90867</v>
      </c>
      <c r="Z10" s="0">
        <v>46.524084</v>
      </c>
      <c r="AA10" s="0">
        <v>15.600335</v>
      </c>
      <c r="AB10" s="0">
        <v>62.124419</v>
      </c>
      <c r="AC10" s="0">
        <v>50.967238</v>
      </c>
      <c r="AD10" s="0">
        <v>60.557752</v>
      </c>
      <c r="AE10" s="0">
        <v>5.904698</v>
      </c>
      <c r="AF10" s="0">
        <v>12.331054</v>
      </c>
      <c r="AG10" s="0">
        <v>1.686102</v>
      </c>
      <c r="AH10" s="0">
        <v>4.966559</v>
      </c>
      <c r="AI10" s="0">
        <v>1.882574</v>
      </c>
      <c r="AJ10" s="0">
        <v>4.959677</v>
      </c>
      <c r="AK10" s="0">
        <v>1.204284</v>
      </c>
      <c r="AL10" s="0">
        <v>3.71211</v>
      </c>
      <c r="AM10" s="0">
        <v>13.641704</v>
      </c>
      <c r="AN10" s="0">
        <v>16.361424</v>
      </c>
      <c r="AO10" s="0">
        <v>4.179348</v>
      </c>
      <c r="AP10" s="0">
        <v>7.955872</v>
      </c>
      <c r="AQ10" s="0">
        <v>68.042033</v>
      </c>
      <c r="AR10" s="0">
        <v>75.786012</v>
      </c>
      <c r="AS10" s="0">
        <v>368.080222</v>
      </c>
      <c r="AT10" s="0">
        <v>429.142288</v>
      </c>
      <c r="AU10" s="0">
        <v>183.33229</v>
      </c>
      <c r="AV10" s="0">
        <v>238.25456</v>
      </c>
      <c r="AW10" s="0">
        <v>149.103134</v>
      </c>
      <c r="AX10" s="0">
        <v>222.460947</v>
      </c>
      <c r="AY10" s="0">
        <v>38.805013</v>
      </c>
      <c r="AZ10" s="0">
        <v>53.221751</v>
      </c>
      <c r="BA10" s="0">
        <v>0.260253</v>
      </c>
      <c r="BB10" s="0">
        <v>0.671652</v>
      </c>
      <c r="BC10" s="0">
        <v>0.113188</v>
      </c>
      <c r="BD10" s="0">
        <v>0.378596</v>
      </c>
      <c r="BE10" s="0">
        <v>0.113496</v>
      </c>
      <c r="BF10" s="0">
        <v>0.342969</v>
      </c>
      <c r="BG10" s="0">
        <v>0.206784</v>
      </c>
      <c r="BH10" s="0">
        <v>0.71004</v>
      </c>
      <c r="BI10" s="0">
        <v>2.392543</v>
      </c>
      <c r="BJ10" s="0">
        <v>3.636711</v>
      </c>
      <c r="BK10" s="0">
        <v>1.7275</v>
      </c>
      <c r="BL10" s="0">
        <v>2.7985</v>
      </c>
      <c r="BM10" s="0">
        <v>0.8315</v>
      </c>
      <c r="BN10" s="0">
        <v>1.3415</v>
      </c>
      <c r="BO10" s="0">
        <v>3.3145</v>
      </c>
      <c r="BP10" s="0">
        <v>5.1495</v>
      </c>
      <c r="BQ10" s="0">
        <v>2.393216</v>
      </c>
      <c r="BR10" s="0">
        <v>3.033169</v>
      </c>
      <c r="BS10" s="0">
        <v>35.244174</v>
      </c>
      <c r="BT10" s="0">
        <v>55.830455</v>
      </c>
      <c r="BU10" s="0">
        <v>10.885827</v>
      </c>
      <c r="BV10" s="0">
        <v>19.589156</v>
      </c>
      <c r="BW10" s="0">
        <v>46.130001</v>
      </c>
      <c r="BX10" s="0">
        <v>75.419611</v>
      </c>
    </row>
    <row r="11">
      <c r="A11" s="0">
        <v>1989</v>
      </c>
      <c r="B11" s="0">
        <v>63.835927</v>
      </c>
      <c r="C11" s="0">
        <v>60.651539</v>
      </c>
      <c r="D11" s="0">
        <v>15</v>
      </c>
      <c r="E11" s="0">
        <v>4</v>
      </c>
      <c r="F11" s="0">
        <v>7</v>
      </c>
      <c r="G11" s="0">
        <v>3</v>
      </c>
      <c r="H11" s="0">
        <v>12.209036</v>
      </c>
      <c r="I11" s="0">
        <v>4.390803</v>
      </c>
      <c r="J11" s="0">
        <v>4.432253</v>
      </c>
      <c r="K11" s="0">
        <v>3.465866</v>
      </c>
      <c r="L11" s="0">
        <v>11.783518</v>
      </c>
      <c r="M11" s="0">
        <v>18.721409</v>
      </c>
      <c r="N11" s="0">
        <v>0</v>
      </c>
      <c r="O11" s="0">
        <v>6.725682</v>
      </c>
      <c r="P11" s="0">
        <v>74.849099</v>
      </c>
      <c r="Q11" s="0">
        <v>3.127108</v>
      </c>
      <c r="R11" s="0">
        <v>2.3425</v>
      </c>
      <c r="S11" s="0">
        <v>1.1165</v>
      </c>
      <c r="T11" s="0">
        <v>4.4015</v>
      </c>
      <c r="U11" s="0">
        <v>2.940612</v>
      </c>
      <c r="V11" s="0">
        <v>458.354054</v>
      </c>
      <c r="W11" s="0">
        <v>254.532413</v>
      </c>
      <c r="X11" s="0">
        <v>203.821641</v>
      </c>
      <c r="Y11" s="0">
        <v>44.468166</v>
      </c>
      <c r="Z11" s="0">
        <v>50.536013</v>
      </c>
      <c r="AA11" s="0">
        <v>16.854313</v>
      </c>
      <c r="AB11" s="0">
        <v>67.390326</v>
      </c>
      <c r="AC11" s="0">
        <v>56.302576</v>
      </c>
      <c r="AD11" s="0">
        <v>65.171332</v>
      </c>
      <c r="AE11" s="0">
        <v>8.157237</v>
      </c>
      <c r="AF11" s="0">
        <v>16.06505</v>
      </c>
      <c r="AG11" s="0">
        <v>2.599659</v>
      </c>
      <c r="AH11" s="0">
        <v>6.258574</v>
      </c>
      <c r="AI11" s="0">
        <v>2.888201</v>
      </c>
      <c r="AJ11" s="0">
        <v>6.023103</v>
      </c>
      <c r="AK11" s="0">
        <v>2.138878</v>
      </c>
      <c r="AL11" s="0">
        <v>5.023021</v>
      </c>
      <c r="AM11" s="0">
        <v>17.322307</v>
      </c>
      <c r="AN11" s="0">
        <v>20.421038</v>
      </c>
      <c r="AO11" s="0">
        <v>4.803476</v>
      </c>
      <c r="AP11" s="0">
        <v>8.351772</v>
      </c>
      <c r="AQ11" s="0">
        <v>70.798933</v>
      </c>
      <c r="AR11" s="0">
        <v>78.872163</v>
      </c>
      <c r="AS11" s="0">
        <v>429.269425</v>
      </c>
      <c r="AT11" s="0">
        <v>495.189263</v>
      </c>
      <c r="AU11" s="0">
        <v>228.816732</v>
      </c>
      <c r="AV11" s="0">
        <v>287.5031</v>
      </c>
      <c r="AW11" s="0">
        <v>164.173641</v>
      </c>
      <c r="AX11" s="0">
        <v>235.53452</v>
      </c>
      <c r="AY11" s="0">
        <v>36.562984</v>
      </c>
      <c r="AZ11" s="0">
        <v>49.195823</v>
      </c>
      <c r="BA11" s="0">
        <v>0.271154</v>
      </c>
      <c r="BB11" s="0">
        <v>0.618233</v>
      </c>
      <c r="BC11" s="0">
        <v>0.127792</v>
      </c>
      <c r="BD11" s="0">
        <v>0.362804</v>
      </c>
      <c r="BE11" s="0">
        <v>0.136022</v>
      </c>
      <c r="BF11" s="0">
        <v>0.328338</v>
      </c>
      <c r="BG11" s="0">
        <v>0.263036</v>
      </c>
      <c r="BH11" s="0">
        <v>0.696294</v>
      </c>
      <c r="BI11" s="0">
        <v>2.47206</v>
      </c>
      <c r="BJ11" s="0">
        <v>3.6129</v>
      </c>
      <c r="BK11" s="0">
        <v>1.8115</v>
      </c>
      <c r="BL11" s="0">
        <v>2.7425</v>
      </c>
      <c r="BM11" s="0">
        <v>0.8695</v>
      </c>
      <c r="BN11" s="0">
        <v>1.3065</v>
      </c>
      <c r="BO11" s="0">
        <v>3.4325</v>
      </c>
      <c r="BP11" s="0">
        <v>5.1155</v>
      </c>
      <c r="BQ11" s="0">
        <v>2.495254</v>
      </c>
      <c r="BR11" s="0">
        <v>3.183222</v>
      </c>
      <c r="BS11" s="0">
        <v>38.454065</v>
      </c>
      <c r="BT11" s="0">
        <v>60.094376</v>
      </c>
      <c r="BU11" s="0">
        <v>12.550487</v>
      </c>
      <c r="BV11" s="0">
        <v>20.684052</v>
      </c>
      <c r="BW11" s="0">
        <v>51.004552000000004</v>
      </c>
      <c r="BX11" s="0">
        <v>80.778427999999991</v>
      </c>
    </row>
    <row r="12">
      <c r="A12" s="0">
        <v>1990</v>
      </c>
      <c r="B12" s="0">
        <v>81.850682</v>
      </c>
      <c r="C12" s="0">
        <v>65.07997</v>
      </c>
      <c r="D12" s="0">
        <v>18</v>
      </c>
      <c r="E12" s="0">
        <v>4</v>
      </c>
      <c r="F12" s="0">
        <v>2</v>
      </c>
      <c r="G12" s="0">
        <v>4</v>
      </c>
      <c r="H12" s="0">
        <v>10.039818</v>
      </c>
      <c r="I12" s="0">
        <v>3.873117</v>
      </c>
      <c r="J12" s="0">
        <v>3.815142</v>
      </c>
      <c r="K12" s="0">
        <v>3.080279</v>
      </c>
      <c r="L12" s="0">
        <v>16.726439</v>
      </c>
      <c r="M12" s="0">
        <v>22.800097</v>
      </c>
      <c r="N12" s="0">
        <v>3.958921</v>
      </c>
      <c r="O12" s="0">
        <v>7.194272</v>
      </c>
      <c r="P12" s="0">
        <v>77.293559</v>
      </c>
      <c r="Q12" s="0">
        <v>3.121567</v>
      </c>
      <c r="R12" s="0">
        <v>2.3455</v>
      </c>
      <c r="S12" s="0">
        <v>1.1215</v>
      </c>
      <c r="T12" s="0">
        <v>4.3895</v>
      </c>
      <c r="U12" s="0">
        <v>3.046465</v>
      </c>
      <c r="V12" s="0">
        <v>518.39336</v>
      </c>
      <c r="W12" s="0">
        <v>302.675339</v>
      </c>
      <c r="X12" s="0">
        <v>215.718021</v>
      </c>
      <c r="Y12" s="0">
        <v>41.612806</v>
      </c>
      <c r="Z12" s="0">
        <v>53.880072</v>
      </c>
      <c r="AA12" s="0">
        <v>17.805435</v>
      </c>
      <c r="AB12" s="0">
        <v>71.685507</v>
      </c>
      <c r="AC12" s="0">
        <v>59.876092</v>
      </c>
      <c r="AD12" s="0">
        <v>69.923294</v>
      </c>
      <c r="AE12" s="0">
        <v>7.060135</v>
      </c>
      <c r="AF12" s="0">
        <v>13.404542</v>
      </c>
      <c r="AG12" s="0">
        <v>2.661982</v>
      </c>
      <c r="AH12" s="0">
        <v>5.647132</v>
      </c>
      <c r="AI12" s="0">
        <v>2.393683</v>
      </c>
      <c r="AJ12" s="0">
        <v>5.422244</v>
      </c>
      <c r="AK12" s="0">
        <v>2.017771</v>
      </c>
      <c r="AL12" s="0">
        <v>4.350284</v>
      </c>
      <c r="AM12" s="0">
        <v>21.276979</v>
      </c>
      <c r="AN12" s="0">
        <v>24.617925</v>
      </c>
      <c r="AO12" s="0">
        <v>5.544828</v>
      </c>
      <c r="AP12" s="0">
        <v>8.798021</v>
      </c>
      <c r="AQ12" s="0">
        <v>72.758553</v>
      </c>
      <c r="AR12" s="0">
        <v>82.053591</v>
      </c>
      <c r="AS12" s="0">
        <v>485.146197</v>
      </c>
      <c r="AT12" s="0">
        <v>559.467781</v>
      </c>
      <c r="AU12" s="0">
        <v>274.371381</v>
      </c>
      <c r="AV12" s="0">
        <v>339.060581</v>
      </c>
      <c r="AW12" s="0">
        <v>177.757553</v>
      </c>
      <c r="AX12" s="0">
        <v>245.630093</v>
      </c>
      <c r="AY12" s="0">
        <v>34.755554</v>
      </c>
      <c r="AZ12" s="0">
        <v>45.732243</v>
      </c>
      <c r="BA12" s="0">
        <v>0.277837</v>
      </c>
      <c r="BB12" s="0">
        <v>0.564814</v>
      </c>
      <c r="BC12" s="0">
        <v>0.143145</v>
      </c>
      <c r="BD12" s="0">
        <v>0.340169</v>
      </c>
      <c r="BE12" s="0">
        <v>0.150291</v>
      </c>
      <c r="BF12" s="0">
        <v>0.298279</v>
      </c>
      <c r="BG12" s="0">
        <v>0.317502</v>
      </c>
      <c r="BH12" s="0">
        <v>0.682467</v>
      </c>
      <c r="BI12" s="0">
        <v>2.559901</v>
      </c>
      <c r="BJ12" s="0">
        <v>3.527828</v>
      </c>
      <c r="BK12" s="0">
        <v>1.8995</v>
      </c>
      <c r="BL12" s="0">
        <v>2.7095</v>
      </c>
      <c r="BM12" s="0">
        <v>0.9125</v>
      </c>
      <c r="BN12" s="0">
        <v>1.2945</v>
      </c>
      <c r="BO12" s="0">
        <v>3.5635</v>
      </c>
      <c r="BP12" s="0">
        <v>4.9825</v>
      </c>
      <c r="BQ12" s="0">
        <v>2.592794</v>
      </c>
      <c r="BR12" s="0">
        <v>3.321121</v>
      </c>
      <c r="BS12" s="0">
        <v>42.602367</v>
      </c>
      <c r="BT12" s="0">
        <v>63.208115</v>
      </c>
      <c r="BU12" s="0">
        <v>14.390355</v>
      </c>
      <c r="BV12" s="0">
        <v>21.638631</v>
      </c>
      <c r="BW12" s="0">
        <v>56.992722</v>
      </c>
      <c r="BX12" s="0">
        <v>84.846746</v>
      </c>
    </row>
    <row r="13">
      <c r="A13" s="0">
        <v>1991</v>
      </c>
      <c r="B13" s="0">
        <v>72.121661</v>
      </c>
      <c r="C13" s="0">
        <v>68.857458</v>
      </c>
      <c r="D13" s="0">
        <v>12</v>
      </c>
      <c r="E13" s="0">
        <v>6</v>
      </c>
      <c r="F13" s="0">
        <v>4</v>
      </c>
      <c r="G13" s="0">
        <v>5</v>
      </c>
      <c r="H13" s="0">
        <v>11.336072</v>
      </c>
      <c r="I13" s="0">
        <v>4.665986</v>
      </c>
      <c r="J13" s="0">
        <v>4.48049</v>
      </c>
      <c r="K13" s="0">
        <v>3.714027</v>
      </c>
      <c r="L13" s="0">
        <v>20.782426</v>
      </c>
      <c r="M13" s="0">
        <v>27.017284</v>
      </c>
      <c r="N13" s="0">
        <v>3.70098</v>
      </c>
      <c r="O13" s="0">
        <v>7.540932</v>
      </c>
      <c r="P13" s="0">
        <v>79.302123</v>
      </c>
      <c r="Q13" s="0">
        <v>3.119236</v>
      </c>
      <c r="R13" s="0">
        <v>2.3505</v>
      </c>
      <c r="S13" s="0">
        <v>1.1265</v>
      </c>
      <c r="T13" s="0">
        <v>4.3825</v>
      </c>
      <c r="U13" s="0">
        <v>3.138753</v>
      </c>
      <c r="V13" s="0">
        <v>576.334835</v>
      </c>
      <c r="W13" s="0">
        <v>350.504641</v>
      </c>
      <c r="X13" s="0">
        <v>225.830193</v>
      </c>
      <c r="Y13" s="0">
        <v>39.183853</v>
      </c>
      <c r="Z13" s="0">
        <v>56.605683</v>
      </c>
      <c r="AA13" s="0">
        <v>18.480365</v>
      </c>
      <c r="AB13" s="0">
        <v>75.086048</v>
      </c>
      <c r="AC13" s="0">
        <v>62.810379</v>
      </c>
      <c r="AD13" s="0">
        <v>74.908601</v>
      </c>
      <c r="AE13" s="0">
        <v>7.658204</v>
      </c>
      <c r="AF13" s="0">
        <v>15.511726</v>
      </c>
      <c r="AG13" s="0">
        <v>2.844497</v>
      </c>
      <c r="AH13" s="0">
        <v>6.815329</v>
      </c>
      <c r="AI13" s="0">
        <v>2.9665</v>
      </c>
      <c r="AJ13" s="0">
        <v>7.313792</v>
      </c>
      <c r="AK13" s="0">
        <v>2.161801</v>
      </c>
      <c r="AL13" s="0">
        <v>5.510429</v>
      </c>
      <c r="AM13" s="0">
        <v>25.374173</v>
      </c>
      <c r="AN13" s="0">
        <v>29.08091</v>
      </c>
      <c r="AO13" s="0">
        <v>6.330284</v>
      </c>
      <c r="AP13" s="0">
        <v>9.103991</v>
      </c>
      <c r="AQ13" s="0">
        <v>74.247402</v>
      </c>
      <c r="AR13" s="0">
        <v>85.101619</v>
      </c>
      <c r="AS13" s="0">
        <v>540.333209</v>
      </c>
      <c r="AT13" s="0">
        <v>620.265181</v>
      </c>
      <c r="AU13" s="0">
        <v>316.895177</v>
      </c>
      <c r="AV13" s="0">
        <v>389.309603</v>
      </c>
      <c r="AW13" s="0">
        <v>192.576023</v>
      </c>
      <c r="AX13" s="0">
        <v>255.711564</v>
      </c>
      <c r="AY13" s="0">
        <v>33.481366</v>
      </c>
      <c r="AZ13" s="0">
        <v>42.805049</v>
      </c>
      <c r="BA13" s="0">
        <v>0.265676</v>
      </c>
      <c r="BB13" s="0">
        <v>0.522591</v>
      </c>
      <c r="BC13" s="0">
        <v>0.154453</v>
      </c>
      <c r="BD13" s="0">
        <v>0.340587</v>
      </c>
      <c r="BE13" s="0">
        <v>0.154858</v>
      </c>
      <c r="BF13" s="0">
        <v>0.302575</v>
      </c>
      <c r="BG13" s="0">
        <v>0.366495</v>
      </c>
      <c r="BH13" s="0">
        <v>0.708126</v>
      </c>
      <c r="BI13" s="0">
        <v>2.651462</v>
      </c>
      <c r="BJ13" s="0">
        <v>3.579579</v>
      </c>
      <c r="BK13" s="0">
        <v>1.9325</v>
      </c>
      <c r="BL13" s="0">
        <v>2.7435</v>
      </c>
      <c r="BM13" s="0">
        <v>0.9405</v>
      </c>
      <c r="BN13" s="0">
        <v>1.3115</v>
      </c>
      <c r="BO13" s="0">
        <v>3.6805</v>
      </c>
      <c r="BP13" s="0">
        <v>5.0615</v>
      </c>
      <c r="BQ13" s="0">
        <v>2.67534</v>
      </c>
      <c r="BR13" s="0">
        <v>3.438787</v>
      </c>
      <c r="BS13" s="0">
        <v>46.827279</v>
      </c>
      <c r="BT13" s="0">
        <v>65.375935</v>
      </c>
      <c r="BU13" s="0">
        <v>15.05307</v>
      </c>
      <c r="BV13" s="0">
        <v>21.757734</v>
      </c>
      <c r="BW13" s="0">
        <v>61.880348999999995</v>
      </c>
      <c r="BX13" s="0">
        <v>87.133669</v>
      </c>
    </row>
    <row r="14">
      <c r="A14" s="0">
        <v>1992</v>
      </c>
      <c r="B14" s="0">
        <v>87.04884</v>
      </c>
      <c r="C14" s="0">
        <v>72.038344</v>
      </c>
      <c r="D14" s="0">
        <v>13</v>
      </c>
      <c r="E14" s="0">
        <v>9</v>
      </c>
      <c r="F14" s="0">
        <v>9.9</v>
      </c>
      <c r="G14" s="0">
        <v>10</v>
      </c>
      <c r="H14" s="0">
        <v>16.917192</v>
      </c>
      <c r="I14" s="0">
        <v>7.398492</v>
      </c>
      <c r="J14" s="0">
        <v>6.920892</v>
      </c>
      <c r="K14" s="0">
        <v>5.862434</v>
      </c>
      <c r="L14" s="0">
        <v>35.563897</v>
      </c>
      <c r="M14" s="0">
        <v>31.293122</v>
      </c>
      <c r="N14" s="0">
        <v>14.473679</v>
      </c>
      <c r="O14" s="0">
        <v>7.778996</v>
      </c>
      <c r="P14" s="0">
        <v>81.031564</v>
      </c>
      <c r="Q14" s="0">
        <v>3.120094</v>
      </c>
      <c r="R14" s="0">
        <v>2.3565</v>
      </c>
      <c r="S14" s="0">
        <v>1.1325</v>
      </c>
      <c r="T14" s="0">
        <v>4.3805</v>
      </c>
      <c r="U14" s="0">
        <v>3.217934</v>
      </c>
      <c r="V14" s="0">
        <v>632.769825</v>
      </c>
      <c r="W14" s="0">
        <v>398.289401</v>
      </c>
      <c r="X14" s="0">
        <v>234.480424</v>
      </c>
      <c r="Y14" s="0">
        <v>37.056196</v>
      </c>
      <c r="Z14" s="0">
        <v>58.788226</v>
      </c>
      <c r="AA14" s="0">
        <v>18.917302</v>
      </c>
      <c r="AB14" s="0">
        <v>77.705528</v>
      </c>
      <c r="AC14" s="0">
        <v>65.269111</v>
      </c>
      <c r="AD14" s="0">
        <v>79.090539</v>
      </c>
      <c r="AE14" s="0">
        <v>13.397677</v>
      </c>
      <c r="AF14" s="0">
        <v>22.778276</v>
      </c>
      <c r="AG14" s="0">
        <v>5.243495</v>
      </c>
      <c r="AH14" s="0">
        <v>9.507421</v>
      </c>
      <c r="AI14" s="0">
        <v>4.895277</v>
      </c>
      <c r="AJ14" s="0">
        <v>9.827432</v>
      </c>
      <c r="AK14" s="0">
        <v>4.315974</v>
      </c>
      <c r="AL14" s="0">
        <v>8.156173</v>
      </c>
      <c r="AM14" s="0">
        <v>29.422485</v>
      </c>
      <c r="AN14" s="0">
        <v>33.596325</v>
      </c>
      <c r="AO14" s="0">
        <v>6.22327</v>
      </c>
      <c r="AP14" s="0">
        <v>8.99622</v>
      </c>
      <c r="AQ14" s="0">
        <v>75.435367</v>
      </c>
      <c r="AR14" s="0">
        <v>87.601573</v>
      </c>
      <c r="AS14" s="0">
        <v>594.710965</v>
      </c>
      <c r="AT14" s="0">
        <v>677.236086</v>
      </c>
      <c r="AU14" s="0">
        <v>358.152962</v>
      </c>
      <c r="AV14" s="0">
        <v>439.483074</v>
      </c>
      <c r="AW14" s="0">
        <v>204.816605</v>
      </c>
      <c r="AX14" s="0">
        <v>265.255416</v>
      </c>
      <c r="AY14" s="0">
        <v>32.511955</v>
      </c>
      <c r="AZ14" s="0">
        <v>40.810733</v>
      </c>
      <c r="BA14" s="0">
        <v>0.251662</v>
      </c>
      <c r="BB14" s="0">
        <v>0.471944</v>
      </c>
      <c r="BC14" s="0">
        <v>0.167783</v>
      </c>
      <c r="BD14" s="0">
        <v>0.342147</v>
      </c>
      <c r="BE14" s="0">
        <v>0.153511</v>
      </c>
      <c r="BF14" s="0">
        <v>0.282634</v>
      </c>
      <c r="BG14" s="0">
        <v>0.370442</v>
      </c>
      <c r="BH14" s="0">
        <v>0.743995</v>
      </c>
      <c r="BI14" s="0">
        <v>2.764919</v>
      </c>
      <c r="BJ14" s="0">
        <v>3.559364</v>
      </c>
      <c r="BK14" s="0">
        <v>2.0195</v>
      </c>
      <c r="BL14" s="0">
        <v>2.7155</v>
      </c>
      <c r="BM14" s="0">
        <v>0.9675</v>
      </c>
      <c r="BN14" s="0">
        <v>1.3055</v>
      </c>
      <c r="BO14" s="0">
        <v>3.8585</v>
      </c>
      <c r="BP14" s="0">
        <v>5.0425</v>
      </c>
      <c r="BQ14" s="0">
        <v>2.762816</v>
      </c>
      <c r="BR14" s="0">
        <v>3.536416</v>
      </c>
      <c r="BS14" s="0">
        <v>50.21163</v>
      </c>
      <c r="BT14" s="0">
        <v>66.283318</v>
      </c>
      <c r="BU14" s="0">
        <v>14.829077</v>
      </c>
      <c r="BV14" s="0">
        <v>22.428351</v>
      </c>
      <c r="BW14" s="0">
        <v>65.040707</v>
      </c>
      <c r="BX14" s="0">
        <v>88.711669</v>
      </c>
    </row>
    <row r="15">
      <c r="A15" s="0">
        <v>1993</v>
      </c>
      <c r="B15" s="0">
        <v>65.335271</v>
      </c>
      <c r="C15" s="0">
        <v>73.966369</v>
      </c>
      <c r="D15" s="0">
        <v>9</v>
      </c>
      <c r="E15" s="0">
        <v>6</v>
      </c>
      <c r="F15" s="0">
        <v>1</v>
      </c>
      <c r="G15" s="0">
        <v>6</v>
      </c>
      <c r="H15" s="0">
        <v>11.036723</v>
      </c>
      <c r="I15" s="0">
        <v>4.930006</v>
      </c>
      <c r="J15" s="0">
        <v>4.660555</v>
      </c>
      <c r="K15" s="0">
        <v>3.929529</v>
      </c>
      <c r="L15" s="0">
        <v>40.253958</v>
      </c>
      <c r="M15" s="0">
        <v>35.551182</v>
      </c>
      <c r="N15" s="0">
        <v>6.192917</v>
      </c>
      <c r="O15" s="0">
        <v>7.950563</v>
      </c>
      <c r="P15" s="0">
        <v>82.638656</v>
      </c>
      <c r="Q15" s="0">
        <v>3.124146</v>
      </c>
      <c r="R15" s="0">
        <v>2.3645</v>
      </c>
      <c r="S15" s="0">
        <v>1.1385</v>
      </c>
      <c r="T15" s="0">
        <v>4.3825</v>
      </c>
      <c r="U15" s="0">
        <v>3.285493</v>
      </c>
      <c r="V15" s="0">
        <v>684.620067</v>
      </c>
      <c r="W15" s="0">
        <v>441.817911</v>
      </c>
      <c r="X15" s="0">
        <v>242.802156</v>
      </c>
      <c r="Y15" s="0">
        <v>35.465241</v>
      </c>
      <c r="Z15" s="0">
        <v>60.572489</v>
      </c>
      <c r="AA15" s="0">
        <v>19.369689</v>
      </c>
      <c r="AB15" s="0">
        <v>79.942178</v>
      </c>
      <c r="AC15" s="0">
        <v>67.839262</v>
      </c>
      <c r="AD15" s="0">
        <v>80.293576</v>
      </c>
      <c r="AE15" s="0">
        <v>7.149988</v>
      </c>
      <c r="AF15" s="0">
        <v>15.258352</v>
      </c>
      <c r="AG15" s="0">
        <v>3.08584</v>
      </c>
      <c r="AH15" s="0">
        <v>6.897628</v>
      </c>
      <c r="AI15" s="0">
        <v>2.876731</v>
      </c>
      <c r="AJ15" s="0">
        <v>6.921944</v>
      </c>
      <c r="AK15" s="0">
        <v>2.375961</v>
      </c>
      <c r="AL15" s="0">
        <v>5.9582</v>
      </c>
      <c r="AM15" s="0">
        <v>33.575</v>
      </c>
      <c r="AN15" s="0">
        <v>37.956855</v>
      </c>
      <c r="AO15" s="0">
        <v>6.142214</v>
      </c>
      <c r="AP15" s="0">
        <v>9.529058</v>
      </c>
      <c r="AQ15" s="0">
        <v>76.439581</v>
      </c>
      <c r="AR15" s="0">
        <v>90.324106</v>
      </c>
      <c r="AS15" s="0">
        <v>643.602188</v>
      </c>
      <c r="AT15" s="0">
        <v>728.884558</v>
      </c>
      <c r="AU15" s="0">
        <v>401.573496</v>
      </c>
      <c r="AV15" s="0">
        <v>482.74759</v>
      </c>
      <c r="AW15" s="0">
        <v>215.155788</v>
      </c>
      <c r="AX15" s="0">
        <v>274.833604</v>
      </c>
      <c r="AY15" s="0">
        <v>31.870923</v>
      </c>
      <c r="AZ15" s="0">
        <v>39.48706</v>
      </c>
      <c r="BA15" s="0">
        <v>0.240007</v>
      </c>
      <c r="BB15" s="0">
        <v>0.461479</v>
      </c>
      <c r="BC15" s="0">
        <v>0.172316</v>
      </c>
      <c r="BD15" s="0">
        <v>0.350424</v>
      </c>
      <c r="BE15" s="0">
        <v>0.133832</v>
      </c>
      <c r="BF15" s="0">
        <v>0.300671</v>
      </c>
      <c r="BG15" s="0">
        <v>0.372024</v>
      </c>
      <c r="BH15" s="0">
        <v>0.812793</v>
      </c>
      <c r="BI15" s="0">
        <v>2.808718</v>
      </c>
      <c r="BJ15" s="0">
        <v>3.61295</v>
      </c>
      <c r="BK15" s="0">
        <v>2.0365</v>
      </c>
      <c r="BL15" s="0">
        <v>2.7715</v>
      </c>
      <c r="BM15" s="0">
        <v>0.9825</v>
      </c>
      <c r="BN15" s="0">
        <v>1.3325</v>
      </c>
      <c r="BO15" s="0">
        <v>3.8995</v>
      </c>
      <c r="BP15" s="0">
        <v>5.0735</v>
      </c>
      <c r="BQ15" s="0">
        <v>2.856664</v>
      </c>
      <c r="BR15" s="0">
        <v>3.606843</v>
      </c>
      <c r="BS15" s="0">
        <v>51.673131</v>
      </c>
      <c r="BT15" s="0">
        <v>69.743098</v>
      </c>
      <c r="BU15" s="0">
        <v>14.861873</v>
      </c>
      <c r="BV15" s="0">
        <v>23.521851</v>
      </c>
      <c r="BW15" s="0">
        <v>66.535004</v>
      </c>
      <c r="BX15" s="0">
        <v>93.264949</v>
      </c>
    </row>
    <row r="16">
      <c r="A16" s="0">
        <v>1994</v>
      </c>
      <c r="B16" s="0">
        <v>81.064687</v>
      </c>
      <c r="C16" s="0">
        <v>75.07169</v>
      </c>
      <c r="D16" s="0">
        <v>21</v>
      </c>
      <c r="E16" s="0">
        <v>8.9</v>
      </c>
      <c r="F16" s="0">
        <v>10.8</v>
      </c>
      <c r="G16" s="0">
        <v>3</v>
      </c>
      <c r="H16" s="0">
        <v>18.909238</v>
      </c>
      <c r="I16" s="0">
        <v>8.382754</v>
      </c>
      <c r="J16" s="0">
        <v>8.239205</v>
      </c>
      <c r="K16" s="0">
        <v>6.806076</v>
      </c>
      <c r="L16" s="0">
        <v>41.295186</v>
      </c>
      <c r="M16" s="0">
        <v>39.734993</v>
      </c>
      <c r="N16" s="0">
        <v>12.002049</v>
      </c>
      <c r="O16" s="0">
        <v>8.162682</v>
      </c>
      <c r="P16" s="0">
        <v>84.280064</v>
      </c>
      <c r="Q16" s="0">
        <v>3.185408</v>
      </c>
      <c r="R16" s="0">
        <v>2.4175</v>
      </c>
      <c r="S16" s="0">
        <v>1.1635</v>
      </c>
      <c r="T16" s="0">
        <v>4.4735</v>
      </c>
      <c r="U16" s="0">
        <v>3.344174</v>
      </c>
      <c r="V16" s="0">
        <v>733.579926</v>
      </c>
      <c r="W16" s="0">
        <v>481.929304</v>
      </c>
      <c r="X16" s="0">
        <v>251.650622</v>
      </c>
      <c r="Y16" s="0">
        <v>34.304459</v>
      </c>
      <c r="Z16" s="0">
        <v>62.227058</v>
      </c>
      <c r="AA16" s="0">
        <v>19.932935</v>
      </c>
      <c r="AB16" s="0">
        <v>82.159993</v>
      </c>
      <c r="AC16" s="0">
        <v>70.569672</v>
      </c>
      <c r="AD16" s="0">
        <v>80.654143</v>
      </c>
      <c r="AE16" s="0">
        <v>13.662786</v>
      </c>
      <c r="AF16" s="0">
        <v>22.875636</v>
      </c>
      <c r="AG16" s="0">
        <v>5.853766</v>
      </c>
      <c r="AH16" s="0">
        <v>10.341753</v>
      </c>
      <c r="AI16" s="0">
        <v>5.852028</v>
      </c>
      <c r="AJ16" s="0">
        <v>10.501675</v>
      </c>
      <c r="AK16" s="0">
        <v>4.999028</v>
      </c>
      <c r="AL16" s="0">
        <v>8.886306</v>
      </c>
      <c r="AM16" s="0">
        <v>37.631638</v>
      </c>
      <c r="AN16" s="0">
        <v>42.154764</v>
      </c>
      <c r="AO16" s="0">
        <v>6.311873</v>
      </c>
      <c r="AP16" s="0">
        <v>9.940058</v>
      </c>
      <c r="AQ16" s="0">
        <v>77.705167</v>
      </c>
      <c r="AR16" s="0">
        <v>92.829866</v>
      </c>
      <c r="AS16" s="0">
        <v>689.904045</v>
      </c>
      <c r="AT16" s="0">
        <v>778.024053</v>
      </c>
      <c r="AU16" s="0">
        <v>437.182871</v>
      </c>
      <c r="AV16" s="0">
        <v>524.564106</v>
      </c>
      <c r="AW16" s="0">
        <v>222.840378</v>
      </c>
      <c r="AX16" s="0">
        <v>284.764199</v>
      </c>
      <c r="AY16" s="0">
        <v>31.365195</v>
      </c>
      <c r="AZ16" s="0">
        <v>38.153303</v>
      </c>
      <c r="BA16" s="0">
        <v>0.235497</v>
      </c>
      <c r="BB16" s="0">
        <v>0.440404</v>
      </c>
      <c r="BC16" s="0">
        <v>0.176253</v>
      </c>
      <c r="BD16" s="0">
        <v>0.333879</v>
      </c>
      <c r="BE16" s="0">
        <v>0.140912</v>
      </c>
      <c r="BF16" s="0">
        <v>0.288804</v>
      </c>
      <c r="BG16" s="0">
        <v>0.388673</v>
      </c>
      <c r="BH16" s="0">
        <v>0.775389</v>
      </c>
      <c r="BI16" s="0">
        <v>2.860482</v>
      </c>
      <c r="BJ16" s="0">
        <v>3.632802</v>
      </c>
      <c r="BK16" s="0">
        <v>2.1115</v>
      </c>
      <c r="BL16" s="0">
        <v>2.7905</v>
      </c>
      <c r="BM16" s="0">
        <v>1.0185</v>
      </c>
      <c r="BN16" s="0">
        <v>1.3405</v>
      </c>
      <c r="BO16" s="0">
        <v>3.9995</v>
      </c>
      <c r="BP16" s="0">
        <v>5.1055</v>
      </c>
      <c r="BQ16" s="0">
        <v>2.958242</v>
      </c>
      <c r="BR16" s="0">
        <v>3.698508</v>
      </c>
      <c r="BS16" s="0">
        <v>54.046216</v>
      </c>
      <c r="BT16" s="0">
        <v>72.665613</v>
      </c>
      <c r="BU16" s="0">
        <v>15.643217</v>
      </c>
      <c r="BV16" s="0">
        <v>24.310664</v>
      </c>
      <c r="BW16" s="0">
        <v>69.689433000000008</v>
      </c>
      <c r="BX16" s="0">
        <v>96.976277</v>
      </c>
    </row>
    <row r="17">
      <c r="A17" s="0">
        <v>1995</v>
      </c>
      <c r="B17" s="0">
        <v>62.79632</v>
      </c>
      <c r="C17" s="0">
        <v>76.227311</v>
      </c>
      <c r="D17" s="0">
        <v>16</v>
      </c>
      <c r="E17" s="0">
        <v>10</v>
      </c>
      <c r="F17" s="0">
        <v>8</v>
      </c>
      <c r="G17" s="0">
        <v>3.9</v>
      </c>
      <c r="H17" s="0">
        <v>20.272054</v>
      </c>
      <c r="I17" s="0">
        <v>8.986229</v>
      </c>
      <c r="J17" s="0">
        <v>9.124796</v>
      </c>
      <c r="K17" s="0">
        <v>7.414705</v>
      </c>
      <c r="L17" s="0">
        <v>31.445805</v>
      </c>
      <c r="M17" s="0">
        <v>43.812523</v>
      </c>
      <c r="N17" s="0">
        <v>6.670322</v>
      </c>
      <c r="O17" s="0">
        <v>8.405507</v>
      </c>
      <c r="P17" s="0">
        <v>86.085386</v>
      </c>
      <c r="Q17" s="0">
        <v>3.25019</v>
      </c>
      <c r="R17" s="0">
        <v>2.4735</v>
      </c>
      <c r="S17" s="0">
        <v>1.1895</v>
      </c>
      <c r="T17" s="0">
        <v>4.5685</v>
      </c>
      <c r="U17" s="0">
        <v>3.399633</v>
      </c>
      <c r="V17" s="0">
        <v>785.33551</v>
      </c>
      <c r="W17" s="0">
        <v>524.197427</v>
      </c>
      <c r="X17" s="0">
        <v>261.138083</v>
      </c>
      <c r="Y17" s="0">
        <v>33.251786</v>
      </c>
      <c r="Z17" s="0">
        <v>63.918576</v>
      </c>
      <c r="AA17" s="0">
        <v>20.539655</v>
      </c>
      <c r="AB17" s="0">
        <v>84.458231</v>
      </c>
      <c r="AC17" s="0">
        <v>71.624357</v>
      </c>
      <c r="AD17" s="0">
        <v>81.671971</v>
      </c>
      <c r="AE17" s="0">
        <v>15.61101</v>
      </c>
      <c r="AF17" s="0">
        <v>24.235179</v>
      </c>
      <c r="AG17" s="0">
        <v>6.649552</v>
      </c>
      <c r="AH17" s="0">
        <v>10.841134</v>
      </c>
      <c r="AI17" s="0">
        <v>6.984655</v>
      </c>
      <c r="AJ17" s="0">
        <v>11.546434</v>
      </c>
      <c r="AK17" s="0">
        <v>5.842676</v>
      </c>
      <c r="AL17" s="0">
        <v>9.127789</v>
      </c>
      <c r="AM17" s="0">
        <v>41.581093</v>
      </c>
      <c r="AN17" s="0">
        <v>46.175764</v>
      </c>
      <c r="AO17" s="0">
        <v>6.697915</v>
      </c>
      <c r="AP17" s="0">
        <v>10.204009</v>
      </c>
      <c r="AQ17" s="0">
        <v>79.060847</v>
      </c>
      <c r="AR17" s="0">
        <v>94.955681</v>
      </c>
      <c r="AS17" s="0">
        <v>738.084199</v>
      </c>
      <c r="AT17" s="0">
        <v>831.515889</v>
      </c>
      <c r="AU17" s="0">
        <v>476.550099</v>
      </c>
      <c r="AV17" s="0">
        <v>570.304057</v>
      </c>
      <c r="AW17" s="0">
        <v>231.661694</v>
      </c>
      <c r="AX17" s="0">
        <v>294.73845</v>
      </c>
      <c r="AY17" s="0">
        <v>30.287665</v>
      </c>
      <c r="AZ17" s="0">
        <v>36.987226</v>
      </c>
      <c r="BA17" s="0">
        <v>0.236439</v>
      </c>
      <c r="BB17" s="0">
        <v>0.423361</v>
      </c>
      <c r="BC17" s="0">
        <v>0.179621</v>
      </c>
      <c r="BD17" s="0">
        <v>0.317507</v>
      </c>
      <c r="BE17" s="0">
        <v>0.150538</v>
      </c>
      <c r="BF17" s="0">
        <v>0.283437</v>
      </c>
      <c r="BG17" s="0">
        <v>0.401214</v>
      </c>
      <c r="BH17" s="0">
        <v>0.748943</v>
      </c>
      <c r="BI17" s="0">
        <v>2.939388</v>
      </c>
      <c r="BJ17" s="0">
        <v>3.661629</v>
      </c>
      <c r="BK17" s="0">
        <v>2.1875</v>
      </c>
      <c r="BL17" s="0">
        <v>2.8235</v>
      </c>
      <c r="BM17" s="0">
        <v>1.0405</v>
      </c>
      <c r="BN17" s="0">
        <v>1.3515</v>
      </c>
      <c r="BO17" s="0">
        <v>4.1125</v>
      </c>
      <c r="BP17" s="0">
        <v>5.1755</v>
      </c>
      <c r="BQ17" s="0">
        <v>3.052221</v>
      </c>
      <c r="BR17" s="0">
        <v>3.757738</v>
      </c>
      <c r="BS17" s="0">
        <v>55.347429</v>
      </c>
      <c r="BT17" s="0">
        <v>73.940829</v>
      </c>
      <c r="BU17" s="0">
        <v>16.734659</v>
      </c>
      <c r="BV17" s="0">
        <v>24.73824</v>
      </c>
      <c r="BW17" s="0">
        <v>72.082088</v>
      </c>
      <c r="BX17" s="0">
        <v>98.679069</v>
      </c>
    </row>
    <row r="18">
      <c r="A18" s="0">
        <v>1996</v>
      </c>
      <c r="B18" s="0">
        <v>70.432928</v>
      </c>
      <c r="C18" s="0">
        <v>77.43014</v>
      </c>
      <c r="D18" s="0">
        <v>23</v>
      </c>
      <c r="E18" s="0">
        <v>6</v>
      </c>
      <c r="F18" s="0">
        <v>10</v>
      </c>
      <c r="G18" s="0">
        <v>9</v>
      </c>
      <c r="H18" s="0">
        <v>23.477887</v>
      </c>
      <c r="I18" s="0">
        <v>10.44813</v>
      </c>
      <c r="J18" s="0">
        <v>10.938226</v>
      </c>
      <c r="K18" s="0">
        <v>8.747648</v>
      </c>
      <c r="L18" s="0">
        <v>32.408998</v>
      </c>
      <c r="M18" s="0">
        <v>47.756559</v>
      </c>
      <c r="N18" s="0">
        <v>8.865683</v>
      </c>
      <c r="O18" s="0">
        <v>8.664799</v>
      </c>
      <c r="P18" s="0">
        <v>88.062244</v>
      </c>
      <c r="Q18" s="0">
        <v>3.318793</v>
      </c>
      <c r="R18" s="0">
        <v>2.5325</v>
      </c>
      <c r="S18" s="0">
        <v>1.2165</v>
      </c>
      <c r="T18" s="0">
        <v>4.6695</v>
      </c>
      <c r="U18" s="0">
        <v>3.452136</v>
      </c>
      <c r="V18" s="0">
        <v>844.159287</v>
      </c>
      <c r="W18" s="0">
        <v>572.771145</v>
      </c>
      <c r="X18" s="0">
        <v>271.388141</v>
      </c>
      <c r="Y18" s="0">
        <v>32.148926</v>
      </c>
      <c r="Z18" s="0">
        <v>65.727871</v>
      </c>
      <c r="AA18" s="0">
        <v>21.185856</v>
      </c>
      <c r="AB18" s="0">
        <v>86.913727</v>
      </c>
      <c r="AC18" s="0">
        <v>72.38346</v>
      </c>
      <c r="AD18" s="0">
        <v>82.660881</v>
      </c>
      <c r="AE18" s="0">
        <v>19.203678</v>
      </c>
      <c r="AF18" s="0">
        <v>26.165793</v>
      </c>
      <c r="AG18" s="0">
        <v>8.356932</v>
      </c>
      <c r="AH18" s="0">
        <v>12.755264</v>
      </c>
      <c r="AI18" s="0">
        <v>8.590827</v>
      </c>
      <c r="AJ18" s="0">
        <v>13.689879</v>
      </c>
      <c r="AK18" s="0">
        <v>7.029505</v>
      </c>
      <c r="AL18" s="0">
        <v>10.467814</v>
      </c>
      <c r="AM18" s="0">
        <v>45.41905</v>
      </c>
      <c r="AN18" s="0">
        <v>50.068221</v>
      </c>
      <c r="AO18" s="0">
        <v>7.188234</v>
      </c>
      <c r="AP18" s="0">
        <v>10.454418</v>
      </c>
      <c r="AQ18" s="0">
        <v>80.696387</v>
      </c>
      <c r="AR18" s="0">
        <v>96.753988</v>
      </c>
      <c r="AS18" s="0">
        <v>791.746222</v>
      </c>
      <c r="AT18" s="0">
        <v>896.644397</v>
      </c>
      <c r="AU18" s="0">
        <v>523.504958</v>
      </c>
      <c r="AV18" s="0">
        <v>621.883539</v>
      </c>
      <c r="AW18" s="0">
        <v>241.708914</v>
      </c>
      <c r="AX18" s="0">
        <v>305.554857</v>
      </c>
      <c r="AY18" s="0">
        <v>29.262516</v>
      </c>
      <c r="AZ18" s="0">
        <v>35.692046</v>
      </c>
      <c r="BA18" s="0">
        <v>0.237507</v>
      </c>
      <c r="BB18" s="0">
        <v>0.392554</v>
      </c>
      <c r="BC18" s="0">
        <v>0.18206</v>
      </c>
      <c r="BD18" s="0">
        <v>0.298829</v>
      </c>
      <c r="BE18" s="0">
        <v>0.155073</v>
      </c>
      <c r="BF18" s="0">
        <v>0.276572</v>
      </c>
      <c r="BG18" s="0">
        <v>0.41413</v>
      </c>
      <c r="BH18" s="0">
        <v>0.701543</v>
      </c>
      <c r="BI18" s="0">
        <v>3.032957</v>
      </c>
      <c r="BJ18" s="0">
        <v>3.719889</v>
      </c>
      <c r="BK18" s="0">
        <v>2.2745</v>
      </c>
      <c r="BL18" s="0">
        <v>2.8725</v>
      </c>
      <c r="BM18" s="0">
        <v>1.0815</v>
      </c>
      <c r="BN18" s="0">
        <v>1.3745</v>
      </c>
      <c r="BO18" s="0">
        <v>4.2505</v>
      </c>
      <c r="BP18" s="0">
        <v>5.2605</v>
      </c>
      <c r="BQ18" s="0">
        <v>3.136886</v>
      </c>
      <c r="BR18" s="0">
        <v>3.80896</v>
      </c>
      <c r="BS18" s="0">
        <v>56.63046</v>
      </c>
      <c r="BT18" s="0">
        <v>76.101705</v>
      </c>
      <c r="BU18" s="0">
        <v>17.876244</v>
      </c>
      <c r="BV18" s="0">
        <v>25.436794</v>
      </c>
      <c r="BW18" s="0">
        <v>74.506704</v>
      </c>
      <c r="BX18" s="0">
        <v>101.538499</v>
      </c>
    </row>
    <row r="19">
      <c r="A19" s="0">
        <v>1997</v>
      </c>
      <c r="B19" s="0">
        <v>74.360637</v>
      </c>
      <c r="C19" s="0">
        <v>78.692862</v>
      </c>
      <c r="D19" s="0">
        <v>16</v>
      </c>
      <c r="E19" s="0">
        <v>8.9</v>
      </c>
      <c r="F19" s="0">
        <v>13</v>
      </c>
      <c r="G19" s="0">
        <v>11</v>
      </c>
      <c r="H19" s="0">
        <v>24.687989</v>
      </c>
      <c r="I19" s="0">
        <v>11.055802</v>
      </c>
      <c r="J19" s="0">
        <v>11.932189</v>
      </c>
      <c r="K19" s="0">
        <v>9.389582</v>
      </c>
      <c r="L19" s="0">
        <v>28.677648</v>
      </c>
      <c r="M19" s="0">
        <v>51.553546</v>
      </c>
      <c r="N19" s="0">
        <v>14.590382</v>
      </c>
      <c r="O19" s="0">
        <v>8.941877</v>
      </c>
      <c r="P19" s="0">
        <v>90.159489</v>
      </c>
      <c r="Q19" s="0">
        <v>3.391556</v>
      </c>
      <c r="R19" s="0">
        <v>2.5945</v>
      </c>
      <c r="S19" s="0">
        <v>1.2465</v>
      </c>
      <c r="T19" s="0">
        <v>4.7765</v>
      </c>
      <c r="U19" s="0">
        <v>3.50294</v>
      </c>
      <c r="V19" s="0">
        <v>917.994572</v>
      </c>
      <c r="W19" s="0">
        <v>635.534066</v>
      </c>
      <c r="X19" s="0">
        <v>282.460506</v>
      </c>
      <c r="Y19" s="0">
        <v>30.7693</v>
      </c>
      <c r="Z19" s="0">
        <v>67.688015</v>
      </c>
      <c r="AA19" s="0">
        <v>21.878689</v>
      </c>
      <c r="AB19" s="0">
        <v>89.566703999999987</v>
      </c>
      <c r="AC19" s="0">
        <v>74.120476</v>
      </c>
      <c r="AD19" s="0">
        <v>84.755474</v>
      </c>
      <c r="AE19" s="0">
        <v>20.411572</v>
      </c>
      <c r="AF19" s="0">
        <v>28.051357</v>
      </c>
      <c r="AG19" s="0">
        <v>9.205864</v>
      </c>
      <c r="AH19" s="0">
        <v>13.714541</v>
      </c>
      <c r="AI19" s="0">
        <v>9.559952</v>
      </c>
      <c r="AJ19" s="0">
        <v>14.290723</v>
      </c>
      <c r="AK19" s="0">
        <v>7.880843</v>
      </c>
      <c r="AL19" s="0">
        <v>11.922884</v>
      </c>
      <c r="AM19" s="0">
        <v>48.950598</v>
      </c>
      <c r="AN19" s="0">
        <v>54.151884</v>
      </c>
      <c r="AO19" s="0">
        <v>7.422984</v>
      </c>
      <c r="AP19" s="0">
        <v>10.671731</v>
      </c>
      <c r="AQ19" s="0">
        <v>83.69645</v>
      </c>
      <c r="AR19" s="0">
        <v>98.45887</v>
      </c>
      <c r="AS19" s="0">
        <v>861.291873</v>
      </c>
      <c r="AT19" s="0">
        <v>977.603908</v>
      </c>
      <c r="AU19" s="0">
        <v>585.650437</v>
      </c>
      <c r="AV19" s="0">
        <v>687.276478</v>
      </c>
      <c r="AW19" s="0">
        <v>253.061817</v>
      </c>
      <c r="AX19" s="0">
        <v>320.55916</v>
      </c>
      <c r="AY19" s="0">
        <v>28.12127</v>
      </c>
      <c r="AZ19" s="0">
        <v>33.996321</v>
      </c>
      <c r="BA19" s="0">
        <v>0.232039</v>
      </c>
      <c r="BB19" s="0">
        <v>0.367703</v>
      </c>
      <c r="BC19" s="0">
        <v>0.179444</v>
      </c>
      <c r="BD19" s="0">
        <v>0.288066</v>
      </c>
      <c r="BE19" s="0">
        <v>0.162153</v>
      </c>
      <c r="BF19" s="0">
        <v>0.262609</v>
      </c>
      <c r="BG19" s="0">
        <v>0.426296</v>
      </c>
      <c r="BH19" s="0">
        <v>0.692348</v>
      </c>
      <c r="BI19" s="0">
        <v>3.089059</v>
      </c>
      <c r="BJ19" s="0">
        <v>3.780187</v>
      </c>
      <c r="BK19" s="0">
        <v>2.3315</v>
      </c>
      <c r="BL19" s="0">
        <v>2.9235</v>
      </c>
      <c r="BM19" s="0">
        <v>1.1215</v>
      </c>
      <c r="BN19" s="0">
        <v>1.3985</v>
      </c>
      <c r="BO19" s="0">
        <v>4.3345</v>
      </c>
      <c r="BP19" s="0">
        <v>5.3495</v>
      </c>
      <c r="BQ19" s="0">
        <v>3.22634</v>
      </c>
      <c r="BR19" s="0">
        <v>3.87064</v>
      </c>
      <c r="BS19" s="0">
        <v>58.295007</v>
      </c>
      <c r="BT19" s="0">
        <v>78.292805</v>
      </c>
      <c r="BU19" s="0">
        <v>18.23811</v>
      </c>
      <c r="BV19" s="0">
        <v>25.917103</v>
      </c>
      <c r="BW19" s="0">
        <v>76.533117</v>
      </c>
      <c r="BX19" s="0">
        <v>104.209908</v>
      </c>
    </row>
    <row r="20">
      <c r="A20" s="0">
        <v>1998</v>
      </c>
      <c r="B20" s="0">
        <v>91.74803</v>
      </c>
      <c r="C20" s="0">
        <v>80.012946</v>
      </c>
      <c r="D20" s="0">
        <v>28</v>
      </c>
      <c r="E20" s="0">
        <v>13.1</v>
      </c>
      <c r="F20" s="0">
        <v>16</v>
      </c>
      <c r="G20" s="0">
        <v>13</v>
      </c>
      <c r="H20" s="0">
        <v>26.390624</v>
      </c>
      <c r="I20" s="0">
        <v>11.912672</v>
      </c>
      <c r="J20" s="0">
        <v>13.265373</v>
      </c>
      <c r="K20" s="0">
        <v>10.269362</v>
      </c>
      <c r="L20" s="0">
        <v>21.534745</v>
      </c>
      <c r="M20" s="0">
        <v>55.198819</v>
      </c>
      <c r="N20" s="0">
        <v>11.518585</v>
      </c>
      <c r="O20" s="0">
        <v>9.239324</v>
      </c>
      <c r="P20" s="0">
        <v>92.324241</v>
      </c>
      <c r="Q20" s="0">
        <v>3.468858</v>
      </c>
      <c r="R20" s="0">
        <v>2.6605</v>
      </c>
      <c r="S20" s="0">
        <v>1.2775</v>
      </c>
      <c r="T20" s="0">
        <v>4.8895</v>
      </c>
      <c r="U20" s="0">
        <v>3.553748</v>
      </c>
      <c r="V20" s="0">
        <v>997.613531</v>
      </c>
      <c r="W20" s="0">
        <v>703.249108</v>
      </c>
      <c r="X20" s="0">
        <v>294.364423</v>
      </c>
      <c r="Y20" s="0">
        <v>29.50686</v>
      </c>
      <c r="Z20" s="0">
        <v>69.806814</v>
      </c>
      <c r="AA20" s="0">
        <v>22.623381</v>
      </c>
      <c r="AB20" s="0">
        <v>92.430195</v>
      </c>
      <c r="AC20" s="0">
        <v>75.663424</v>
      </c>
      <c r="AD20" s="0">
        <v>86.036672</v>
      </c>
      <c r="AE20" s="0">
        <v>23.204026</v>
      </c>
      <c r="AF20" s="0">
        <v>29.535374</v>
      </c>
      <c r="AG20" s="0">
        <v>9.672698</v>
      </c>
      <c r="AH20" s="0">
        <v>13.86369</v>
      </c>
      <c r="AI20" s="0">
        <v>11.564042</v>
      </c>
      <c r="AJ20" s="0">
        <v>15.86638</v>
      </c>
      <c r="AK20" s="0">
        <v>8.686334</v>
      </c>
      <c r="AL20" s="0">
        <v>12.271746</v>
      </c>
      <c r="AM20" s="0">
        <v>52.357263</v>
      </c>
      <c r="AN20" s="0">
        <v>58.201842</v>
      </c>
      <c r="AO20" s="0">
        <v>7.802396</v>
      </c>
      <c r="AP20" s="0">
        <v>10.868708</v>
      </c>
      <c r="AQ20" s="0">
        <v>85.209918</v>
      </c>
      <c r="AR20" s="0">
        <v>99.97616</v>
      </c>
      <c r="AS20" s="0">
        <v>936.444484</v>
      </c>
      <c r="AT20" s="0">
        <v>1063.874888</v>
      </c>
      <c r="AU20" s="0">
        <v>653.534002</v>
      </c>
      <c r="AV20" s="0">
        <v>754.568145</v>
      </c>
      <c r="AW20" s="0">
        <v>265.754241</v>
      </c>
      <c r="AX20" s="0">
        <v>334.558546</v>
      </c>
      <c r="AY20" s="0">
        <v>27.166562</v>
      </c>
      <c r="AZ20" s="0">
        <v>32.372981</v>
      </c>
      <c r="BA20" s="0">
        <v>0.225722</v>
      </c>
      <c r="BB20" s="0">
        <v>0.345582</v>
      </c>
      <c r="BC20" s="0">
        <v>0.176828</v>
      </c>
      <c r="BD20" s="0">
        <v>0.277303</v>
      </c>
      <c r="BE20" s="0">
        <v>0.169992</v>
      </c>
      <c r="BF20" s="0">
        <v>0.267203</v>
      </c>
      <c r="BG20" s="0">
        <v>0.427765</v>
      </c>
      <c r="BH20" s="0">
        <v>0.696589</v>
      </c>
      <c r="BI20" s="0">
        <v>3.15198</v>
      </c>
      <c r="BJ20" s="0">
        <v>3.842631</v>
      </c>
      <c r="BK20" s="0">
        <v>2.3915</v>
      </c>
      <c r="BL20" s="0">
        <v>2.9765</v>
      </c>
      <c r="BM20" s="0">
        <v>1.1505</v>
      </c>
      <c r="BN20" s="0">
        <v>1.4235</v>
      </c>
      <c r="BO20" s="0">
        <v>4.4275</v>
      </c>
      <c r="BP20" s="0">
        <v>5.4415</v>
      </c>
      <c r="BQ20" s="0">
        <v>3.31321</v>
      </c>
      <c r="BR20" s="0">
        <v>3.922741</v>
      </c>
      <c r="BS20" s="0">
        <v>61.180993</v>
      </c>
      <c r="BT20" s="0">
        <v>79.802437</v>
      </c>
      <c r="BU20" s="0">
        <v>19.297665</v>
      </c>
      <c r="BV20" s="0">
        <v>26.510179</v>
      </c>
      <c r="BW20" s="0">
        <v>80.478658</v>
      </c>
      <c r="BX20" s="0">
        <v>106.31261599999999</v>
      </c>
    </row>
    <row r="21">
      <c r="A21" s="0">
        <v>1999</v>
      </c>
      <c r="B21" s="0">
        <v>72.531743</v>
      </c>
      <c r="C21" s="0">
        <v>81.373925</v>
      </c>
      <c r="D21" s="0">
        <v>23</v>
      </c>
      <c r="E21" s="0">
        <v>8</v>
      </c>
      <c r="F21" s="0">
        <v>16</v>
      </c>
      <c r="G21" s="0">
        <v>6</v>
      </c>
      <c r="H21" s="0">
        <v>23.728507</v>
      </c>
      <c r="I21" s="0">
        <v>10.812239</v>
      </c>
      <c r="J21" s="0">
        <v>12.438541</v>
      </c>
      <c r="K21" s="0">
        <v>9.472551</v>
      </c>
      <c r="L21" s="0">
        <v>21.453051</v>
      </c>
      <c r="M21" s="0">
        <v>58.694485</v>
      </c>
      <c r="N21" s="0">
        <v>5.107869</v>
      </c>
      <c r="O21" s="0">
        <v>9.558802</v>
      </c>
      <c r="P21" s="0">
        <v>94.503625</v>
      </c>
      <c r="Q21" s="0">
        <v>3.551127</v>
      </c>
      <c r="R21" s="0">
        <v>2.7305</v>
      </c>
      <c r="S21" s="0">
        <v>1.3105</v>
      </c>
      <c r="T21" s="0">
        <v>5.0085</v>
      </c>
      <c r="U21" s="0">
        <v>3.60616</v>
      </c>
      <c r="V21" s="0">
        <v>1079.694721</v>
      </c>
      <c r="W21" s="0">
        <v>772.622062</v>
      </c>
      <c r="X21" s="0">
        <v>307.072658</v>
      </c>
      <c r="Y21" s="0">
        <v>28.440693</v>
      </c>
      <c r="Z21" s="0">
        <v>72.07815</v>
      </c>
      <c r="AA21" s="0">
        <v>23.421219</v>
      </c>
      <c r="AB21" s="0">
        <v>95.499369</v>
      </c>
      <c r="AC21" s="0">
        <v>76.357261</v>
      </c>
      <c r="AD21" s="0">
        <v>88.112249</v>
      </c>
      <c r="AE21" s="0">
        <v>20.06903</v>
      </c>
      <c r="AF21" s="0">
        <v>27.793803</v>
      </c>
      <c r="AG21" s="0">
        <v>8.661783</v>
      </c>
      <c r="AH21" s="0">
        <v>13.281758</v>
      </c>
      <c r="AI21" s="0">
        <v>10.185645</v>
      </c>
      <c r="AJ21" s="0">
        <v>15.175022</v>
      </c>
      <c r="AK21" s="0">
        <v>7.840406</v>
      </c>
      <c r="AL21" s="0">
        <v>11.673625</v>
      </c>
      <c r="AM21" s="0">
        <v>55.587655</v>
      </c>
      <c r="AN21" s="0">
        <v>62.033287</v>
      </c>
      <c r="AO21" s="0">
        <v>8.125288</v>
      </c>
      <c r="AP21" s="0">
        <v>11.188583</v>
      </c>
      <c r="AQ21" s="0">
        <v>87.205803</v>
      </c>
      <c r="AR21" s="0">
        <v>101.403638</v>
      </c>
      <c r="AS21" s="0">
        <v>1015.154298</v>
      </c>
      <c r="AT21" s="0">
        <v>1151.716847</v>
      </c>
      <c r="AU21" s="0">
        <v>723.709444</v>
      </c>
      <c r="AV21" s="0">
        <v>825.653217</v>
      </c>
      <c r="AW21" s="0">
        <v>277.005139</v>
      </c>
      <c r="AX21" s="0">
        <v>345.34333</v>
      </c>
      <c r="AY21" s="0">
        <v>26.436766</v>
      </c>
      <c r="AZ21" s="0">
        <v>31.054016</v>
      </c>
      <c r="BA21" s="0">
        <v>0.215899</v>
      </c>
      <c r="BB21" s="0">
        <v>0.323461</v>
      </c>
      <c r="BC21" s="0">
        <v>0.17039</v>
      </c>
      <c r="BD21" s="0">
        <v>0.267567</v>
      </c>
      <c r="BE21" s="0">
        <v>0.178073</v>
      </c>
      <c r="BF21" s="0">
        <v>0.27127</v>
      </c>
      <c r="BG21" s="0">
        <v>0.421452</v>
      </c>
      <c r="BH21" s="0">
        <v>0.670105</v>
      </c>
      <c r="BI21" s="0">
        <v>3.196908</v>
      </c>
      <c r="BJ21" s="0">
        <v>3.907339</v>
      </c>
      <c r="BK21" s="0">
        <v>2.4425</v>
      </c>
      <c r="BL21" s="0">
        <v>3.0325</v>
      </c>
      <c r="BM21" s="0">
        <v>1.1825</v>
      </c>
      <c r="BN21" s="0">
        <v>1.4495</v>
      </c>
      <c r="BO21" s="0">
        <v>4.4745</v>
      </c>
      <c r="BP21" s="0">
        <v>5.5265</v>
      </c>
      <c r="BQ21" s="0">
        <v>3.376186</v>
      </c>
      <c r="BR21" s="0">
        <v>3.969637</v>
      </c>
      <c r="BS21" s="0">
        <v>62.754298</v>
      </c>
      <c r="BT21" s="0">
        <v>82.484345</v>
      </c>
      <c r="BU21" s="0">
        <v>19.889273</v>
      </c>
      <c r="BV21" s="0">
        <v>27.362059</v>
      </c>
      <c r="BW21" s="0">
        <v>82.643571</v>
      </c>
      <c r="BX21" s="0">
        <v>109.846404</v>
      </c>
    </row>
    <row r="22">
      <c r="A22" s="0">
        <v>2000</v>
      </c>
      <c r="B22" s="0">
        <v>68.919546</v>
      </c>
      <c r="C22" s="0">
        <v>82.748751</v>
      </c>
      <c r="D22" s="0">
        <v>21</v>
      </c>
      <c r="E22" s="0">
        <v>10</v>
      </c>
      <c r="F22" s="0">
        <v>12</v>
      </c>
      <c r="G22" s="0">
        <v>5.7</v>
      </c>
      <c r="H22" s="0">
        <v>25.158942</v>
      </c>
      <c r="I22" s="0">
        <v>11.589105</v>
      </c>
      <c r="J22" s="0">
        <v>13.795198</v>
      </c>
      <c r="K22" s="0">
        <v>10.335295</v>
      </c>
      <c r="L22" s="0">
        <v>20.400895</v>
      </c>
      <c r="M22" s="0">
        <v>62.046128</v>
      </c>
      <c r="N22" s="0">
        <v>10.643945</v>
      </c>
      <c r="O22" s="0">
        <v>9.900013</v>
      </c>
      <c r="P22" s="0">
        <v>96.644763</v>
      </c>
      <c r="Q22" s="0">
        <v>3.638848</v>
      </c>
      <c r="R22" s="0">
        <v>2.8055</v>
      </c>
      <c r="S22" s="0">
        <v>1.3455</v>
      </c>
      <c r="T22" s="0">
        <v>5.1365</v>
      </c>
      <c r="U22" s="0">
        <v>3.661538</v>
      </c>
      <c r="V22" s="0">
        <v>1162.975227</v>
      </c>
      <c r="W22" s="0">
        <v>842.443066</v>
      </c>
      <c r="X22" s="0">
        <v>320.532161</v>
      </c>
      <c r="Y22" s="0">
        <v>27.561392</v>
      </c>
      <c r="Z22" s="0">
        <v>74.487612</v>
      </c>
      <c r="AA22" s="0">
        <v>24.270122</v>
      </c>
      <c r="AB22" s="0">
        <v>98.757734</v>
      </c>
      <c r="AC22" s="0">
        <v>77.694017</v>
      </c>
      <c r="AD22" s="0">
        <v>89.766574</v>
      </c>
      <c r="AE22" s="0">
        <v>21.765286</v>
      </c>
      <c r="AF22" s="0">
        <v>28.180446</v>
      </c>
      <c r="AG22" s="0">
        <v>9.750224</v>
      </c>
      <c r="AH22" s="0">
        <v>14.504098</v>
      </c>
      <c r="AI22" s="0">
        <v>11.397383</v>
      </c>
      <c r="AJ22" s="0">
        <v>17.010669</v>
      </c>
      <c r="AK22" s="0">
        <v>8.33777</v>
      </c>
      <c r="AL22" s="0">
        <v>13.240428</v>
      </c>
      <c r="AM22" s="0">
        <v>58.766271</v>
      </c>
      <c r="AN22" s="0">
        <v>65.755239</v>
      </c>
      <c r="AO22" s="0">
        <v>8.371963</v>
      </c>
      <c r="AP22" s="0">
        <v>11.541831</v>
      </c>
      <c r="AQ22" s="0">
        <v>89.743452</v>
      </c>
      <c r="AR22" s="0">
        <v>103.781318</v>
      </c>
      <c r="AS22" s="0">
        <v>1095.837234</v>
      </c>
      <c r="AT22" s="0">
        <v>1240.549019</v>
      </c>
      <c r="AU22" s="0">
        <v>792.878199</v>
      </c>
      <c r="AV22" s="0">
        <v>900.343539</v>
      </c>
      <c r="AW22" s="0">
        <v>282.80135</v>
      </c>
      <c r="AX22" s="0">
        <v>358.578747</v>
      </c>
      <c r="AY22" s="0">
        <v>25.156028</v>
      </c>
      <c r="AZ22" s="0">
        <v>30.03238</v>
      </c>
      <c r="BA22" s="0">
        <v>0.203327</v>
      </c>
      <c r="BB22" s="0">
        <v>0.300953</v>
      </c>
      <c r="BC22" s="0">
        <v>0.157795</v>
      </c>
      <c r="BD22" s="0">
        <v>0.264991</v>
      </c>
      <c r="BE22" s="0">
        <v>0.183994</v>
      </c>
      <c r="BF22" s="0">
        <v>0.268236</v>
      </c>
      <c r="BG22" s="0">
        <v>0.418685</v>
      </c>
      <c r="BH22" s="0">
        <v>0.665304</v>
      </c>
      <c r="BI22" s="0">
        <v>3.214997</v>
      </c>
      <c r="BJ22" s="0">
        <v>3.957247</v>
      </c>
      <c r="BK22" s="0">
        <v>2.4595</v>
      </c>
      <c r="BL22" s="0">
        <v>3.0785</v>
      </c>
      <c r="BM22" s="0">
        <v>1.1885</v>
      </c>
      <c r="BN22" s="0">
        <v>1.4725</v>
      </c>
      <c r="BO22" s="0">
        <v>4.5165</v>
      </c>
      <c r="BP22" s="0">
        <v>5.6055</v>
      </c>
      <c r="BQ22" s="0">
        <v>3.417976</v>
      </c>
      <c r="BR22" s="0">
        <v>4.024368</v>
      </c>
      <c r="BS22" s="0">
        <v>65.500426</v>
      </c>
      <c r="BT22" s="0">
        <v>84.945829</v>
      </c>
      <c r="BU22" s="0">
        <v>20.429824</v>
      </c>
      <c r="BV22" s="0">
        <v>28.203146</v>
      </c>
      <c r="BW22" s="0">
        <v>85.93025</v>
      </c>
      <c r="BX22" s="0">
        <v>113.14897500000001</v>
      </c>
    </row>
    <row r="23">
      <c r="A23" s="0">
        <v>2001</v>
      </c>
      <c r="B23" s="0">
        <v>92.52827</v>
      </c>
      <c r="C23" s="0">
        <v>84.104273</v>
      </c>
      <c r="D23" s="0">
        <v>26</v>
      </c>
      <c r="E23" s="0">
        <v>13</v>
      </c>
      <c r="F23" s="0">
        <v>9.6</v>
      </c>
      <c r="G23" s="0">
        <v>17</v>
      </c>
      <c r="H23" s="0">
        <v>23.756827</v>
      </c>
      <c r="I23" s="0">
        <v>11.079778</v>
      </c>
      <c r="J23" s="0">
        <v>13.67082</v>
      </c>
      <c r="K23" s="0">
        <v>10.077204</v>
      </c>
      <c r="L23" s="0">
        <v>19.588432</v>
      </c>
      <c r="M23" s="0">
        <v>65.261532</v>
      </c>
      <c r="N23" s="0">
        <v>9.843433</v>
      </c>
      <c r="O23" s="0">
        <v>10.261887</v>
      </c>
      <c r="P23" s="0">
        <v>98.694777</v>
      </c>
      <c r="Q23" s="0">
        <v>3.73257</v>
      </c>
      <c r="R23" s="0">
        <v>2.8845</v>
      </c>
      <c r="S23" s="0">
        <v>1.3835</v>
      </c>
      <c r="T23" s="0">
        <v>5.2715</v>
      </c>
      <c r="U23" s="0">
        <v>3.720958</v>
      </c>
      <c r="V23" s="0">
        <v>1248.812991</v>
      </c>
      <c r="W23" s="0">
        <v>914.142791</v>
      </c>
      <c r="X23" s="0">
        <v>334.670201</v>
      </c>
      <c r="Y23" s="0">
        <v>26.799065</v>
      </c>
      <c r="Z23" s="0">
        <v>77.015413</v>
      </c>
      <c r="AA23" s="0">
        <v>25.165514</v>
      </c>
      <c r="AB23" s="0">
        <v>102.180927</v>
      </c>
      <c r="AC23" s="0">
        <v>78.367796</v>
      </c>
      <c r="AD23" s="0">
        <v>90.995404</v>
      </c>
      <c r="AE23" s="0">
        <v>19.534514</v>
      </c>
      <c r="AF23" s="0">
        <v>27.765768</v>
      </c>
      <c r="AG23" s="0">
        <v>8.343508</v>
      </c>
      <c r="AH23" s="0">
        <v>13.741468</v>
      </c>
      <c r="AI23" s="0">
        <v>10.94083</v>
      </c>
      <c r="AJ23" s="0">
        <v>16.383251</v>
      </c>
      <c r="AK23" s="0">
        <v>8.090767</v>
      </c>
      <c r="AL23" s="0">
        <v>12.367973</v>
      </c>
      <c r="AM23" s="0">
        <v>61.755466</v>
      </c>
      <c r="AN23" s="0">
        <v>69.330411</v>
      </c>
      <c r="AO23" s="0">
        <v>8.6224</v>
      </c>
      <c r="AP23" s="0">
        <v>11.889854</v>
      </c>
      <c r="AQ23" s="0">
        <v>92.321934</v>
      </c>
      <c r="AR23" s="0">
        <v>106.68627</v>
      </c>
      <c r="AS23" s="0">
        <v>1179.894063</v>
      </c>
      <c r="AT23" s="0">
        <v>1330.897839</v>
      </c>
      <c r="AU23" s="0">
        <v>858.39398</v>
      </c>
      <c r="AV23" s="0">
        <v>973.596787</v>
      </c>
      <c r="AW23" s="0">
        <v>289.031434</v>
      </c>
      <c r="AX23" s="0">
        <v>372.504181</v>
      </c>
      <c r="AY23" s="0">
        <v>24.012612</v>
      </c>
      <c r="AZ23" s="0">
        <v>28.992753</v>
      </c>
      <c r="BA23" s="0">
        <v>0.191639</v>
      </c>
      <c r="BB23" s="0">
        <v>0.287689</v>
      </c>
      <c r="BC23" s="0">
        <v>0.149754</v>
      </c>
      <c r="BD23" s="0">
        <v>0.273081</v>
      </c>
      <c r="BE23" s="0">
        <v>0.182379</v>
      </c>
      <c r="BF23" s="0">
        <v>0.272275</v>
      </c>
      <c r="BG23" s="0">
        <v>0.397845</v>
      </c>
      <c r="BH23" s="0">
        <v>0.692938</v>
      </c>
      <c r="BI23" s="0">
        <v>3.272591</v>
      </c>
      <c r="BJ23" s="0">
        <v>4.079194</v>
      </c>
      <c r="BK23" s="0">
        <v>2.5005</v>
      </c>
      <c r="BL23" s="0">
        <v>3.1765</v>
      </c>
      <c r="BM23" s="0">
        <v>1.2045</v>
      </c>
      <c r="BN23" s="0">
        <v>1.5165</v>
      </c>
      <c r="BO23" s="0">
        <v>4.6035</v>
      </c>
      <c r="BP23" s="0">
        <v>5.7745</v>
      </c>
      <c r="BQ23" s="0">
        <v>3.464538</v>
      </c>
      <c r="BR23" s="0">
        <v>4.043049</v>
      </c>
      <c r="BS23" s="0">
        <v>68.010204</v>
      </c>
      <c r="BT23" s="0">
        <v>87.515793</v>
      </c>
      <c r="BU23" s="0">
        <v>21.090298</v>
      </c>
      <c r="BV23" s="0">
        <v>29.426406</v>
      </c>
      <c r="BW23" s="0">
        <v>89.100502</v>
      </c>
      <c r="BX23" s="0">
        <v>116.942199</v>
      </c>
    </row>
    <row r="24">
      <c r="A24" s="0">
        <v>2002</v>
      </c>
      <c r="B24" s="0">
        <v>81.423665</v>
      </c>
      <c r="C24" s="0">
        <v>85.402837</v>
      </c>
      <c r="D24" s="0">
        <v>25</v>
      </c>
      <c r="E24" s="0">
        <v>13</v>
      </c>
      <c r="F24" s="0">
        <v>15</v>
      </c>
      <c r="G24" s="0">
        <v>11</v>
      </c>
      <c r="H24" s="0">
        <v>25.994328</v>
      </c>
      <c r="I24" s="0">
        <v>12.295833</v>
      </c>
      <c r="J24" s="0">
        <v>15.755591</v>
      </c>
      <c r="K24" s="0">
        <v>11.428735</v>
      </c>
      <c r="L24" s="0">
        <v>18.269319</v>
      </c>
      <c r="M24" s="0">
        <v>68.347959</v>
      </c>
      <c r="N24" s="0">
        <v>8.346389</v>
      </c>
      <c r="O24" s="0">
        <v>10.641944</v>
      </c>
      <c r="P24" s="0">
        <v>100.600791</v>
      </c>
      <c r="Q24" s="0">
        <v>3.832919</v>
      </c>
      <c r="R24" s="0">
        <v>2.9685</v>
      </c>
      <c r="S24" s="0">
        <v>1.4245</v>
      </c>
      <c r="T24" s="0">
        <v>5.4165</v>
      </c>
      <c r="U24" s="0">
        <v>3.78531</v>
      </c>
      <c r="V24" s="0">
        <v>1337.072982</v>
      </c>
      <c r="W24" s="0">
        <v>987.674049</v>
      </c>
      <c r="X24" s="0">
        <v>349.398933</v>
      </c>
      <c r="Y24" s="0">
        <v>26.131628</v>
      </c>
      <c r="Z24" s="0">
        <v>79.63799</v>
      </c>
      <c r="AA24" s="0">
        <v>26.101004</v>
      </c>
      <c r="AB24" s="0">
        <v>105.738994</v>
      </c>
      <c r="AC24" s="0">
        <v>79.216246</v>
      </c>
      <c r="AD24" s="0">
        <v>92.821229</v>
      </c>
      <c r="AE24" s="0">
        <v>22.060729</v>
      </c>
      <c r="AF24" s="0">
        <v>31.116944</v>
      </c>
      <c r="AG24" s="0">
        <v>9.197968</v>
      </c>
      <c r="AH24" s="0">
        <v>16.598898</v>
      </c>
      <c r="AI24" s="0">
        <v>12.643341</v>
      </c>
      <c r="AJ24" s="0">
        <v>18.425026</v>
      </c>
      <c r="AK24" s="0">
        <v>8.728269</v>
      </c>
      <c r="AL24" s="0">
        <v>14.058406</v>
      </c>
      <c r="AM24" s="0">
        <v>64.728118</v>
      </c>
      <c r="AN24" s="0">
        <v>72.85153</v>
      </c>
      <c r="AO24" s="0">
        <v>8.844799</v>
      </c>
      <c r="AP24" s="0">
        <v>12.682601</v>
      </c>
      <c r="AQ24" s="0">
        <v>94.861386</v>
      </c>
      <c r="AR24" s="0">
        <v>108.359669</v>
      </c>
      <c r="AS24" s="0">
        <v>1267.205251</v>
      </c>
      <c r="AT24" s="0">
        <v>1422.620574</v>
      </c>
      <c r="AU24" s="0">
        <v>926.327337</v>
      </c>
      <c r="AV24" s="0">
        <v>1048.429214</v>
      </c>
      <c r="AW24" s="0">
        <v>303.828463</v>
      </c>
      <c r="AX24" s="0">
        <v>389.549461</v>
      </c>
      <c r="AY24" s="0">
        <v>23.204723</v>
      </c>
      <c r="AZ24" s="0">
        <v>28.149818</v>
      </c>
      <c r="BA24" s="0">
        <v>0.172898</v>
      </c>
      <c r="BB24" s="0">
        <v>0.285738</v>
      </c>
      <c r="BC24" s="0">
        <v>0.133649</v>
      </c>
      <c r="BD24" s="0">
        <v>0.271074</v>
      </c>
      <c r="BE24" s="0">
        <v>0.174591</v>
      </c>
      <c r="BF24" s="0">
        <v>0.282274</v>
      </c>
      <c r="BG24" s="0">
        <v>0.367238</v>
      </c>
      <c r="BH24" s="0">
        <v>0.720572</v>
      </c>
      <c r="BI24" s="0">
        <v>3.257795</v>
      </c>
      <c r="BJ24" s="0">
        <v>4.239614</v>
      </c>
      <c r="BK24" s="0">
        <v>2.4885</v>
      </c>
      <c r="BL24" s="0">
        <v>3.3155</v>
      </c>
      <c r="BM24" s="0">
        <v>1.1995</v>
      </c>
      <c r="BN24" s="0">
        <v>1.5875</v>
      </c>
      <c r="BO24" s="0">
        <v>4.5835</v>
      </c>
      <c r="BP24" s="0">
        <v>6.0185</v>
      </c>
      <c r="BQ24" s="0">
        <v>3.461755</v>
      </c>
      <c r="BR24" s="0">
        <v>4.075125</v>
      </c>
      <c r="BS24" s="0">
        <v>69.354739</v>
      </c>
      <c r="BT24" s="0">
        <v>90.521299</v>
      </c>
      <c r="BU24" s="0">
        <v>21.422531</v>
      </c>
      <c r="BV24" s="0">
        <v>31.73755</v>
      </c>
      <c r="BW24" s="0">
        <v>90.777269999999987</v>
      </c>
      <c r="BX24" s="0">
        <v>122.258849</v>
      </c>
    </row>
    <row r="25">
      <c r="A25" s="0">
        <v>2003</v>
      </c>
      <c r="B25" s="0">
        <v>84.677615</v>
      </c>
      <c r="C25" s="0">
        <v>88.679857</v>
      </c>
      <c r="D25" s="0">
        <v>17</v>
      </c>
      <c r="E25" s="0">
        <v>13</v>
      </c>
      <c r="F25" s="0">
        <v>18</v>
      </c>
      <c r="G25" s="0">
        <v>12</v>
      </c>
      <c r="H25" s="0">
        <v>22.637416</v>
      </c>
      <c r="I25" s="0">
        <v>10.948309</v>
      </c>
      <c r="J25" s="0">
        <v>14.319118</v>
      </c>
      <c r="K25" s="0">
        <v>10.588887</v>
      </c>
      <c r="L25" s="0">
        <v>15.883257</v>
      </c>
      <c r="M25" s="0">
        <v>71.332609</v>
      </c>
      <c r="N25" s="0">
        <v>4.963518</v>
      </c>
      <c r="O25" s="0">
        <v>10.966942</v>
      </c>
      <c r="P25" s="0">
        <v>102.309928</v>
      </c>
      <c r="Q25" s="0">
        <v>3.940614</v>
      </c>
      <c r="R25" s="0">
        <v>3.0595</v>
      </c>
      <c r="S25" s="0">
        <v>1.4675</v>
      </c>
      <c r="T25" s="0">
        <v>5.5725</v>
      </c>
      <c r="U25" s="0">
        <v>3.848889</v>
      </c>
      <c r="V25" s="0">
        <v>1427.47478</v>
      </c>
      <c r="W25" s="0">
        <v>1064.929327</v>
      </c>
      <c r="X25" s="0">
        <v>362.545453</v>
      </c>
      <c r="Y25" s="0">
        <v>25.397678</v>
      </c>
      <c r="Z25" s="0">
        <v>82.05695</v>
      </c>
      <c r="AA25" s="0">
        <v>26.474069</v>
      </c>
      <c r="AB25" s="0">
        <v>108.531019</v>
      </c>
      <c r="AC25" s="0">
        <v>82.589556</v>
      </c>
      <c r="AD25" s="0">
        <v>95.945007</v>
      </c>
      <c r="AE25" s="0">
        <v>17.75875</v>
      </c>
      <c r="AF25" s="0">
        <v>28.012387</v>
      </c>
      <c r="AG25" s="0">
        <v>8.113285</v>
      </c>
      <c r="AH25" s="0">
        <v>14.161722</v>
      </c>
      <c r="AI25" s="0">
        <v>10.620497</v>
      </c>
      <c r="AJ25" s="0">
        <v>17.080476</v>
      </c>
      <c r="AK25" s="0">
        <v>7.599619</v>
      </c>
      <c r="AL25" s="0">
        <v>13.301428</v>
      </c>
      <c r="AM25" s="0">
        <v>67.658556</v>
      </c>
      <c r="AN25" s="0">
        <v>75.961908</v>
      </c>
      <c r="AO25" s="0">
        <v>8.976427</v>
      </c>
      <c r="AP25" s="0">
        <v>13.456818</v>
      </c>
      <c r="AQ25" s="0">
        <v>96.319261</v>
      </c>
      <c r="AR25" s="0">
        <v>109.308787</v>
      </c>
      <c r="AS25" s="0">
        <v>1356.202904</v>
      </c>
      <c r="AT25" s="0">
        <v>1515.606082</v>
      </c>
      <c r="AU25" s="0">
        <v>1005.207333</v>
      </c>
      <c r="AV25" s="0">
        <v>1128.630371</v>
      </c>
      <c r="AW25" s="0">
        <v>318.776239</v>
      </c>
      <c r="AX25" s="0">
        <v>403.296571</v>
      </c>
      <c r="AY25" s="0">
        <v>22.70198</v>
      </c>
      <c r="AZ25" s="0">
        <v>27.391056</v>
      </c>
      <c r="BA25" s="0">
        <v>0.158167</v>
      </c>
      <c r="BB25" s="0">
        <v>0.283786</v>
      </c>
      <c r="BC25" s="0">
        <v>0.11684</v>
      </c>
      <c r="BD25" s="0">
        <v>0.273717</v>
      </c>
      <c r="BE25" s="0">
        <v>0.162546</v>
      </c>
      <c r="BF25" s="0">
        <v>0.296637</v>
      </c>
      <c r="BG25" s="0">
        <v>0.3233</v>
      </c>
      <c r="BH25" s="0">
        <v>0.748207</v>
      </c>
      <c r="BI25" s="0">
        <v>3.243383</v>
      </c>
      <c r="BJ25" s="0">
        <v>4.429673</v>
      </c>
      <c r="BK25" s="0">
        <v>2.4775</v>
      </c>
      <c r="BL25" s="0">
        <v>3.4715</v>
      </c>
      <c r="BM25" s="0">
        <v>1.1935</v>
      </c>
      <c r="BN25" s="0">
        <v>1.6605</v>
      </c>
      <c r="BO25" s="0">
        <v>4.5635</v>
      </c>
      <c r="BP25" s="0">
        <v>6.2805</v>
      </c>
      <c r="BQ25" s="0">
        <v>3.490806</v>
      </c>
      <c r="BR25" s="0">
        <v>4.120979</v>
      </c>
      <c r="BS25" s="0">
        <v>70.585511</v>
      </c>
      <c r="BT25" s="0">
        <v>93.833293</v>
      </c>
      <c r="BU25" s="0">
        <v>21.725805</v>
      </c>
      <c r="BV25" s="0">
        <v>32.842837</v>
      </c>
      <c r="BW25" s="0">
        <v>92.311316</v>
      </c>
      <c r="BX25" s="0">
        <v>126.67613</v>
      </c>
    </row>
    <row r="26">
      <c r="A26" s="0">
        <v>2004</v>
      </c>
      <c r="B26" s="0">
        <v>114.08773</v>
      </c>
      <c r="C26" s="0">
        <v>93.157855</v>
      </c>
      <c r="D26" s="0">
        <v>35.7</v>
      </c>
      <c r="E26" s="0">
        <v>11</v>
      </c>
      <c r="F26" s="0">
        <v>16</v>
      </c>
      <c r="G26" s="0">
        <v>13</v>
      </c>
      <c r="H26" s="0">
        <v>23.448159</v>
      </c>
      <c r="I26" s="0">
        <v>11.660224</v>
      </c>
      <c r="J26" s="0">
        <v>15.303844</v>
      </c>
      <c r="K26" s="0">
        <v>11.673226</v>
      </c>
      <c r="L26" s="0">
        <v>19.841344</v>
      </c>
      <c r="M26" s="0">
        <v>74.221616</v>
      </c>
      <c r="N26" s="0">
        <v>13.888941</v>
      </c>
      <c r="O26" s="0">
        <v>10.979688</v>
      </c>
      <c r="P26" s="0">
        <v>103.76931</v>
      </c>
      <c r="Q26" s="0">
        <v>3.90655</v>
      </c>
      <c r="R26" s="0">
        <v>3.0265</v>
      </c>
      <c r="S26" s="0">
        <v>1.4525</v>
      </c>
      <c r="T26" s="0">
        <v>5.5135</v>
      </c>
      <c r="U26" s="0">
        <v>3.909162</v>
      </c>
      <c r="V26" s="0">
        <v>1523.995325</v>
      </c>
      <c r="W26" s="0">
        <v>1151.322531</v>
      </c>
      <c r="X26" s="0">
        <v>372.672794</v>
      </c>
      <c r="Y26" s="0">
        <v>24.45367</v>
      </c>
      <c r="Z26" s="0">
        <v>83.951857</v>
      </c>
      <c r="AA26" s="0">
        <v>26.132987</v>
      </c>
      <c r="AB26" s="0">
        <v>110.084844</v>
      </c>
      <c r="AC26" s="0">
        <v>88.233942</v>
      </c>
      <c r="AD26" s="0">
        <v>99.376806</v>
      </c>
      <c r="AE26" s="0">
        <v>19.059935</v>
      </c>
      <c r="AF26" s="0">
        <v>27.932923</v>
      </c>
      <c r="AG26" s="0">
        <v>9.054805</v>
      </c>
      <c r="AH26" s="0">
        <v>15.135602</v>
      </c>
      <c r="AI26" s="0">
        <v>12.487398</v>
      </c>
      <c r="AJ26" s="0">
        <v>17.679767</v>
      </c>
      <c r="AK26" s="0">
        <v>9.216077</v>
      </c>
      <c r="AL26" s="0">
        <v>14.265802</v>
      </c>
      <c r="AM26" s="0">
        <v>70.553487</v>
      </c>
      <c r="AN26" s="0">
        <v>78.898902</v>
      </c>
      <c r="AO26" s="0">
        <v>9.046663</v>
      </c>
      <c r="AP26" s="0">
        <v>13.51843</v>
      </c>
      <c r="AQ26" s="0">
        <v>97.539851</v>
      </c>
      <c r="AR26" s="0">
        <v>109.849661</v>
      </c>
      <c r="AS26" s="0">
        <v>1448.524934</v>
      </c>
      <c r="AT26" s="0">
        <v>1616.522973</v>
      </c>
      <c r="AU26" s="0">
        <v>1091.382927</v>
      </c>
      <c r="AV26" s="0">
        <v>1220.189374</v>
      </c>
      <c r="AW26" s="0">
        <v>331.187177</v>
      </c>
      <c r="AX26" s="0">
        <v>416.20135</v>
      </c>
      <c r="AY26" s="0">
        <v>21.964284</v>
      </c>
      <c r="AZ26" s="0">
        <v>26.333097</v>
      </c>
      <c r="BA26" s="0">
        <v>0.161513</v>
      </c>
      <c r="BB26" s="0">
        <v>0.280834</v>
      </c>
      <c r="BC26" s="0">
        <v>0.130026</v>
      </c>
      <c r="BD26" s="0">
        <v>0.262108</v>
      </c>
      <c r="BE26" s="0">
        <v>0.180995</v>
      </c>
      <c r="BF26" s="0">
        <v>0.299063</v>
      </c>
      <c r="BG26" s="0">
        <v>0.41577</v>
      </c>
      <c r="BH26" s="0">
        <v>0.759478</v>
      </c>
      <c r="BI26" s="0">
        <v>3.287676</v>
      </c>
      <c r="BJ26" s="0">
        <v>4.34987</v>
      </c>
      <c r="BK26" s="0">
        <v>2.5155</v>
      </c>
      <c r="BL26" s="0">
        <v>3.3885</v>
      </c>
      <c r="BM26" s="0">
        <v>1.2135</v>
      </c>
      <c r="BN26" s="0">
        <v>1.6245</v>
      </c>
      <c r="BO26" s="0">
        <v>4.6225</v>
      </c>
      <c r="BP26" s="0">
        <v>6.1445</v>
      </c>
      <c r="BQ26" s="0">
        <v>3.554031</v>
      </c>
      <c r="BR26" s="0">
        <v>4.213994</v>
      </c>
      <c r="BS26" s="0">
        <v>71.654939</v>
      </c>
      <c r="BT26" s="0">
        <v>95.750852</v>
      </c>
      <c r="BU26" s="0">
        <v>21.625483</v>
      </c>
      <c r="BV26" s="0">
        <v>31.762039</v>
      </c>
      <c r="BW26" s="0">
        <v>93.280422</v>
      </c>
      <c r="BX26" s="0">
        <v>127.512891</v>
      </c>
    </row>
    <row r="27">
      <c r="A27" s="0">
        <v>2005</v>
      </c>
      <c r="B27" s="0">
        <v>87.385293</v>
      </c>
      <c r="C27" s="0">
        <v>96.690629</v>
      </c>
      <c r="D27" s="0">
        <v>23</v>
      </c>
      <c r="E27" s="0">
        <v>13</v>
      </c>
      <c r="F27" s="0">
        <v>13</v>
      </c>
      <c r="G27" s="0">
        <v>9</v>
      </c>
      <c r="H27" s="0">
        <v>24.659047</v>
      </c>
      <c r="I27" s="0">
        <v>12.590067</v>
      </c>
      <c r="J27" s="0">
        <v>16.595438</v>
      </c>
      <c r="K27" s="0">
        <v>12.810472</v>
      </c>
      <c r="L27" s="0">
        <v>25.24464</v>
      </c>
      <c r="M27" s="0">
        <v>76.987957</v>
      </c>
      <c r="N27" s="0">
        <v>12.62232</v>
      </c>
      <c r="O27" s="0">
        <v>10.771185</v>
      </c>
      <c r="P27" s="0">
        <v>104.92606</v>
      </c>
      <c r="Q27" s="0">
        <v>3.875482</v>
      </c>
      <c r="R27" s="0">
        <v>2.9955</v>
      </c>
      <c r="S27" s="0">
        <v>1.4385</v>
      </c>
      <c r="T27" s="0">
        <v>5.4605</v>
      </c>
      <c r="U27" s="0">
        <v>3.959461</v>
      </c>
      <c r="V27" s="0">
        <v>1618.334953</v>
      </c>
      <c r="W27" s="0">
        <v>1237.901648</v>
      </c>
      <c r="X27" s="0">
        <v>380.433305</v>
      </c>
      <c r="Y27" s="0">
        <v>23.507699</v>
      </c>
      <c r="Z27" s="0">
        <v>85.308108</v>
      </c>
      <c r="AA27" s="0">
        <v>25.45611</v>
      </c>
      <c r="AB27" s="0">
        <v>110.764218</v>
      </c>
      <c r="AC27" s="0">
        <v>92.526075</v>
      </c>
      <c r="AD27" s="0">
        <v>102.669783</v>
      </c>
      <c r="AE27" s="0">
        <v>20.431077</v>
      </c>
      <c r="AF27" s="0">
        <v>28.102764</v>
      </c>
      <c r="AG27" s="0">
        <v>10.068662</v>
      </c>
      <c r="AH27" s="0">
        <v>15.528937</v>
      </c>
      <c r="AI27" s="0">
        <v>13.465466</v>
      </c>
      <c r="AJ27" s="0">
        <v>19.221499</v>
      </c>
      <c r="AK27" s="0">
        <v>10.88788</v>
      </c>
      <c r="AL27" s="0">
        <v>14.84208</v>
      </c>
      <c r="AM27" s="0">
        <v>73.388933</v>
      </c>
      <c r="AN27" s="0">
        <v>81.68432</v>
      </c>
      <c r="AO27" s="0">
        <v>8.931565</v>
      </c>
      <c r="AP27" s="0">
        <v>12.968561</v>
      </c>
      <c r="AQ27" s="0">
        <v>98.522604</v>
      </c>
      <c r="AR27" s="0">
        <v>111.734907</v>
      </c>
      <c r="AS27" s="0">
        <v>1542.657614</v>
      </c>
      <c r="AT27" s="0">
        <v>1715.637264</v>
      </c>
      <c r="AU27" s="0">
        <v>1172.944693</v>
      </c>
      <c r="AV27" s="0">
        <v>1309.705798</v>
      </c>
      <c r="AW27" s="0">
        <v>340.08682</v>
      </c>
      <c r="AX27" s="0">
        <v>423.173006</v>
      </c>
      <c r="AY27" s="0">
        <v>21.284074</v>
      </c>
      <c r="AZ27" s="0">
        <v>25.339309</v>
      </c>
      <c r="BA27" s="0">
        <v>0.165963</v>
      </c>
      <c r="BB27" s="0">
        <v>0.276945</v>
      </c>
      <c r="BC27" s="0">
        <v>0.139323</v>
      </c>
      <c r="BD27" s="0">
        <v>0.253147</v>
      </c>
      <c r="BE27" s="0">
        <v>0.199443</v>
      </c>
      <c r="BF27" s="0">
        <v>0.301489</v>
      </c>
      <c r="BG27" s="0">
        <v>0.483669</v>
      </c>
      <c r="BH27" s="0">
        <v>0.791822</v>
      </c>
      <c r="BI27" s="0">
        <v>3.338581</v>
      </c>
      <c r="BJ27" s="0">
        <v>4.248233</v>
      </c>
      <c r="BK27" s="0">
        <v>2.5575</v>
      </c>
      <c r="BL27" s="0">
        <v>3.3035</v>
      </c>
      <c r="BM27" s="0">
        <v>1.2345</v>
      </c>
      <c r="BN27" s="0">
        <v>1.5845</v>
      </c>
      <c r="BO27" s="0">
        <v>4.6905</v>
      </c>
      <c r="BP27" s="0">
        <v>5.9965</v>
      </c>
      <c r="BQ27" s="0">
        <v>3.605042</v>
      </c>
      <c r="BR27" s="0">
        <v>4.283776</v>
      </c>
      <c r="BS27" s="0">
        <v>72.67754</v>
      </c>
      <c r="BT27" s="0">
        <v>96.738614</v>
      </c>
      <c r="BU27" s="0">
        <v>21.196907</v>
      </c>
      <c r="BV27" s="0">
        <v>30.458853</v>
      </c>
      <c r="BW27" s="0">
        <v>93.874446999999989</v>
      </c>
      <c r="BX27" s="0">
        <v>127.197467</v>
      </c>
    </row>
    <row r="28">
      <c r="A28" s="0">
        <v>2006</v>
      </c>
      <c r="B28" s="0">
        <v>125.971042</v>
      </c>
      <c r="C28" s="0">
        <v>99.522032</v>
      </c>
      <c r="D28" s="0">
        <v>39</v>
      </c>
      <c r="E28" s="0">
        <v>15</v>
      </c>
      <c r="F28" s="0">
        <v>18</v>
      </c>
      <c r="G28" s="0">
        <v>18.9</v>
      </c>
      <c r="H28" s="0">
        <v>27.006657</v>
      </c>
      <c r="I28" s="0">
        <v>14.138483</v>
      </c>
      <c r="J28" s="0">
        <v>18.709703</v>
      </c>
      <c r="K28" s="0">
        <v>14.482767</v>
      </c>
      <c r="L28" s="0">
        <v>22.748721</v>
      </c>
      <c r="M28" s="0">
        <v>79.630812</v>
      </c>
      <c r="N28" s="0">
        <v>17.061541</v>
      </c>
      <c r="O28" s="0">
        <v>10.456334</v>
      </c>
      <c r="P28" s="0">
        <v>105.727301</v>
      </c>
      <c r="Q28" s="0">
        <v>3.847064</v>
      </c>
      <c r="R28" s="0">
        <v>2.9665</v>
      </c>
      <c r="S28" s="0">
        <v>1.4245</v>
      </c>
      <c r="T28" s="0">
        <v>5.4125</v>
      </c>
      <c r="U28" s="0">
        <v>4.001987</v>
      </c>
      <c r="V28" s="0">
        <v>1712.202267</v>
      </c>
      <c r="W28" s="0">
        <v>1326.024732</v>
      </c>
      <c r="X28" s="0">
        <v>386.177535</v>
      </c>
      <c r="Y28" s="0">
        <v>22.554434</v>
      </c>
      <c r="Z28" s="0">
        <v>86.144151</v>
      </c>
      <c r="AA28" s="0">
        <v>24.610566</v>
      </c>
      <c r="AB28" s="0">
        <v>110.754717</v>
      </c>
      <c r="AC28" s="0">
        <v>94.026272</v>
      </c>
      <c r="AD28" s="0">
        <v>105.236268</v>
      </c>
      <c r="AE28" s="0">
        <v>22.811236</v>
      </c>
      <c r="AF28" s="0">
        <v>31.138069</v>
      </c>
      <c r="AG28" s="0">
        <v>11.469846</v>
      </c>
      <c r="AH28" s="0">
        <v>16.595658</v>
      </c>
      <c r="AI28" s="0">
        <v>16.149039</v>
      </c>
      <c r="AJ28" s="0">
        <v>21.270404</v>
      </c>
      <c r="AK28" s="0">
        <v>12.006159</v>
      </c>
      <c r="AL28" s="0">
        <v>17.356556</v>
      </c>
      <c r="AM28" s="0">
        <v>76.131225</v>
      </c>
      <c r="AN28" s="0">
        <v>84.230136</v>
      </c>
      <c r="AO28" s="0">
        <v>8.743555</v>
      </c>
      <c r="AP28" s="0">
        <v>12.493198</v>
      </c>
      <c r="AQ28" s="0">
        <v>99.227265</v>
      </c>
      <c r="AR28" s="0">
        <v>113.249897</v>
      </c>
      <c r="AS28" s="0">
        <v>1636.220046</v>
      </c>
      <c r="AT28" s="0">
        <v>1814.475176</v>
      </c>
      <c r="AU28" s="0">
        <v>1256.512063</v>
      </c>
      <c r="AV28" s="0">
        <v>1401.844124</v>
      </c>
      <c r="AW28" s="0">
        <v>348.712842</v>
      </c>
      <c r="AX28" s="0">
        <v>426.216288</v>
      </c>
      <c r="AY28" s="0">
        <v>20.574368</v>
      </c>
      <c r="AZ28" s="0">
        <v>24.279264</v>
      </c>
      <c r="BA28" s="0">
        <v>0.16927</v>
      </c>
      <c r="BB28" s="0">
        <v>0.26233</v>
      </c>
      <c r="BC28" s="0">
        <v>0.147882</v>
      </c>
      <c r="BD28" s="0">
        <v>0.245188</v>
      </c>
      <c r="BE28" s="0">
        <v>0.211024</v>
      </c>
      <c r="BF28" s="0">
        <v>0.300514</v>
      </c>
      <c r="BG28" s="0">
        <v>0.540848</v>
      </c>
      <c r="BH28" s="0">
        <v>0.817053</v>
      </c>
      <c r="BI28" s="0">
        <v>3.396292</v>
      </c>
      <c r="BJ28" s="0">
        <v>4.188375</v>
      </c>
      <c r="BK28" s="0">
        <v>2.6035</v>
      </c>
      <c r="BL28" s="0">
        <v>3.2485</v>
      </c>
      <c r="BM28" s="0">
        <v>1.2565</v>
      </c>
      <c r="BN28" s="0">
        <v>1.5575</v>
      </c>
      <c r="BO28" s="0">
        <v>4.7675</v>
      </c>
      <c r="BP28" s="0">
        <v>5.9045</v>
      </c>
      <c r="BQ28" s="0">
        <v>3.650634</v>
      </c>
      <c r="BR28" s="0">
        <v>4.329074</v>
      </c>
      <c r="BS28" s="0">
        <v>73.997046</v>
      </c>
      <c r="BT28" s="0">
        <v>96.91135</v>
      </c>
      <c r="BU28" s="0">
        <v>21.061978</v>
      </c>
      <c r="BV28" s="0">
        <v>29.18373</v>
      </c>
      <c r="BW28" s="0">
        <v>95.059024</v>
      </c>
      <c r="BX28" s="0">
        <v>126.09508</v>
      </c>
    </row>
    <row r="29">
      <c r="A29" s="0">
        <v>2007</v>
      </c>
      <c r="B29" s="0">
        <v>101.209446</v>
      </c>
      <c r="C29" s="0">
        <v>101.766692</v>
      </c>
      <c r="D29" s="0">
        <v>22</v>
      </c>
      <c r="E29" s="0">
        <v>17</v>
      </c>
      <c r="F29" s="0">
        <v>20</v>
      </c>
      <c r="G29" s="0">
        <v>12</v>
      </c>
      <c r="H29" s="0">
        <v>24.700117</v>
      </c>
      <c r="I29" s="0">
        <v>13.244502</v>
      </c>
      <c r="J29" s="0">
        <v>17.580509</v>
      </c>
      <c r="K29" s="0">
        <v>13.579453</v>
      </c>
      <c r="L29" s="0">
        <v>15.031106</v>
      </c>
      <c r="M29" s="0">
        <v>82.144191</v>
      </c>
      <c r="N29" s="0">
        <v>7.014516</v>
      </c>
      <c r="O29" s="0">
        <v>10.086394</v>
      </c>
      <c r="P29" s="0">
        <v>106.120155</v>
      </c>
      <c r="Q29" s="0">
        <v>3.821008</v>
      </c>
      <c r="R29" s="0">
        <v>2.9395</v>
      </c>
      <c r="S29" s="0">
        <v>1.4125</v>
      </c>
      <c r="T29" s="0">
        <v>5.3675</v>
      </c>
      <c r="U29" s="0">
        <v>4.038638</v>
      </c>
      <c r="V29" s="0">
        <v>1806.42419</v>
      </c>
      <c r="W29" s="0">
        <v>1416.337919</v>
      </c>
      <c r="X29" s="0">
        <v>390.086271</v>
      </c>
      <c r="Y29" s="0">
        <v>21.594389</v>
      </c>
      <c r="Z29" s="0">
        <v>86.489871</v>
      </c>
      <c r="AA29" s="0">
        <v>23.672142</v>
      </c>
      <c r="AB29" s="0">
        <v>110.162013</v>
      </c>
      <c r="AC29" s="0">
        <v>95.508813</v>
      </c>
      <c r="AD29" s="0">
        <v>107.738087</v>
      </c>
      <c r="AE29" s="0">
        <v>21.489649</v>
      </c>
      <c r="AF29" s="0">
        <v>28.199661</v>
      </c>
      <c r="AG29" s="0">
        <v>11.00057</v>
      </c>
      <c r="AH29" s="0">
        <v>16.921714</v>
      </c>
      <c r="AI29" s="0">
        <v>14.582211</v>
      </c>
      <c r="AJ29" s="0">
        <v>21.401368</v>
      </c>
      <c r="AK29" s="0">
        <v>11.454539</v>
      </c>
      <c r="AL29" s="0">
        <v>16.390367</v>
      </c>
      <c r="AM29" s="0">
        <v>78.405983</v>
      </c>
      <c r="AN29" s="0">
        <v>86.534619</v>
      </c>
      <c r="AO29" s="0">
        <v>8.553036</v>
      </c>
      <c r="AP29" s="0">
        <v>11.911677</v>
      </c>
      <c r="AQ29" s="0">
        <v>99.885813</v>
      </c>
      <c r="AR29" s="0">
        <v>114.075015</v>
      </c>
      <c r="AS29" s="0">
        <v>1732.201653</v>
      </c>
      <c r="AT29" s="0">
        <v>1913.831053</v>
      </c>
      <c r="AU29" s="0">
        <v>1349.01801</v>
      </c>
      <c r="AV29" s="0">
        <v>1498.128706</v>
      </c>
      <c r="AW29" s="0">
        <v>352.011185</v>
      </c>
      <c r="AX29" s="0">
        <v>426.469295</v>
      </c>
      <c r="AY29" s="0">
        <v>19.849388</v>
      </c>
      <c r="AZ29" s="0">
        <v>23.218665</v>
      </c>
      <c r="BA29" s="0">
        <v>0.171552</v>
      </c>
      <c r="BB29" s="0">
        <v>0.247714</v>
      </c>
      <c r="BC29" s="0">
        <v>0.155862</v>
      </c>
      <c r="BD29" s="0">
        <v>0.239091</v>
      </c>
      <c r="BE29" s="0">
        <v>0.221933</v>
      </c>
      <c r="BF29" s="0">
        <v>0.308616</v>
      </c>
      <c r="BG29" s="0">
        <v>0.593226</v>
      </c>
      <c r="BH29" s="0">
        <v>0.85651</v>
      </c>
      <c r="BI29" s="0">
        <v>3.425493</v>
      </c>
      <c r="BJ29" s="0">
        <v>4.125051</v>
      </c>
      <c r="BK29" s="0">
        <v>2.6165</v>
      </c>
      <c r="BL29" s="0">
        <v>3.1855</v>
      </c>
      <c r="BM29" s="0">
        <v>1.2585</v>
      </c>
      <c r="BN29" s="0">
        <v>1.5255</v>
      </c>
      <c r="BO29" s="0">
        <v>4.8055</v>
      </c>
      <c r="BP29" s="0">
        <v>5.8015</v>
      </c>
      <c r="BQ29" s="0">
        <v>3.67999</v>
      </c>
      <c r="BR29" s="0">
        <v>4.368896</v>
      </c>
      <c r="BS29" s="0">
        <v>76.182717</v>
      </c>
      <c r="BT29" s="0">
        <v>96.789577</v>
      </c>
      <c r="BU29" s="0">
        <v>20.141058</v>
      </c>
      <c r="BV29" s="0">
        <v>27.842774</v>
      </c>
      <c r="BW29" s="0">
        <v>96.323775</v>
      </c>
      <c r="BX29" s="0">
        <v>124.632351</v>
      </c>
    </row>
    <row r="30">
      <c r="A30" s="0">
        <v>2008</v>
      </c>
      <c r="B30" s="0">
        <v>102.596639</v>
      </c>
      <c r="C30" s="0">
        <v>103.474918</v>
      </c>
      <c r="D30" s="0">
        <v>32</v>
      </c>
      <c r="E30" s="0">
        <v>12.7</v>
      </c>
      <c r="F30" s="0">
        <v>33</v>
      </c>
      <c r="G30" s="0">
        <v>11</v>
      </c>
      <c r="H30" s="0">
        <v>30.541123</v>
      </c>
      <c r="I30" s="0">
        <v>16.759106</v>
      </c>
      <c r="J30" s="0">
        <v>22.29231</v>
      </c>
      <c r="K30" s="0">
        <v>17.130193</v>
      </c>
      <c r="L30" s="0">
        <v>10.478765</v>
      </c>
      <c r="M30" s="0">
        <v>84.517187</v>
      </c>
      <c r="N30" s="0">
        <v>6.668305</v>
      </c>
      <c r="O30" s="0">
        <v>9.684983</v>
      </c>
      <c r="P30" s="0">
        <v>106.051746</v>
      </c>
      <c r="Q30" s="0">
        <v>3.797075</v>
      </c>
      <c r="R30" s="0">
        <v>2.9155</v>
      </c>
      <c r="S30" s="0">
        <v>1.4005</v>
      </c>
      <c r="T30" s="0">
        <v>5.3275</v>
      </c>
      <c r="U30" s="0">
        <v>4.070935</v>
      </c>
      <c r="V30" s="0">
        <v>1901.775077</v>
      </c>
      <c r="W30" s="0">
        <v>1509.539005</v>
      </c>
      <c r="X30" s="0">
        <v>392.236072</v>
      </c>
      <c r="Y30" s="0">
        <v>20.624735</v>
      </c>
      <c r="Z30" s="0">
        <v>86.374532</v>
      </c>
      <c r="AA30" s="0">
        <v>22.677691</v>
      </c>
      <c r="AB30" s="0">
        <v>109.052223</v>
      </c>
      <c r="AC30" s="0">
        <v>96.325039</v>
      </c>
      <c r="AD30" s="0">
        <v>109.78448</v>
      </c>
      <c r="AE30" s="0">
        <v>26.06649</v>
      </c>
      <c r="AF30" s="0">
        <v>34.080255</v>
      </c>
      <c r="AG30" s="0">
        <v>14.051201</v>
      </c>
      <c r="AH30" s="0">
        <v>19.345342</v>
      </c>
      <c r="AI30" s="0">
        <v>19.435005</v>
      </c>
      <c r="AJ30" s="0">
        <v>24.727726</v>
      </c>
      <c r="AK30" s="0">
        <v>14.026939</v>
      </c>
      <c r="AL30" s="0">
        <v>19.774399</v>
      </c>
      <c r="AM30" s="0">
        <v>80.446136</v>
      </c>
      <c r="AN30" s="0">
        <v>89.334262</v>
      </c>
      <c r="AO30" s="0">
        <v>8.150609</v>
      </c>
      <c r="AP30" s="0">
        <v>11.432936</v>
      </c>
      <c r="AQ30" s="0">
        <v>99.86934</v>
      </c>
      <c r="AR30" s="0">
        <v>114.619277</v>
      </c>
      <c r="AS30" s="0">
        <v>1828.673784</v>
      </c>
      <c r="AT30" s="0">
        <v>2014.435909</v>
      </c>
      <c r="AU30" s="0">
        <v>1439.39961</v>
      </c>
      <c r="AV30" s="0">
        <v>1597.773007</v>
      </c>
      <c r="AW30" s="0">
        <v>350.94641</v>
      </c>
      <c r="AX30" s="0">
        <v>431.113037</v>
      </c>
      <c r="AY30" s="0">
        <v>18.896202</v>
      </c>
      <c r="AZ30" s="0">
        <v>22.275367</v>
      </c>
      <c r="BA30" s="0">
        <v>0.1666</v>
      </c>
      <c r="BB30" s="0">
        <v>0.239535</v>
      </c>
      <c r="BC30" s="0">
        <v>0.16094</v>
      </c>
      <c r="BD30" s="0">
        <v>0.24384</v>
      </c>
      <c r="BE30" s="0">
        <v>0.229418</v>
      </c>
      <c r="BF30" s="0">
        <v>0.320258</v>
      </c>
      <c r="BG30" s="0">
        <v>0.633875</v>
      </c>
      <c r="BH30" s="0">
        <v>0.959833</v>
      </c>
      <c r="BI30" s="0">
        <v>3.480128</v>
      </c>
      <c r="BJ30" s="0">
        <v>4.125527</v>
      </c>
      <c r="BK30" s="0">
        <v>2.6615</v>
      </c>
      <c r="BL30" s="0">
        <v>3.1935</v>
      </c>
      <c r="BM30" s="0">
        <v>1.2805</v>
      </c>
      <c r="BN30" s="0">
        <v>1.5285</v>
      </c>
      <c r="BO30" s="0">
        <v>4.8795</v>
      </c>
      <c r="BP30" s="0">
        <v>5.8135</v>
      </c>
      <c r="BQ30" s="0">
        <v>3.703592</v>
      </c>
      <c r="BR30" s="0">
        <v>4.398888</v>
      </c>
      <c r="BS30" s="0">
        <v>75.88746</v>
      </c>
      <c r="BT30" s="0">
        <v>96.801197</v>
      </c>
      <c r="BU30" s="0">
        <v>18.804522</v>
      </c>
      <c r="BV30" s="0">
        <v>27.105045</v>
      </c>
      <c r="BW30" s="0">
        <v>94.691982</v>
      </c>
      <c r="BX30" s="0">
        <v>123.906242</v>
      </c>
    </row>
    <row r="31">
      <c r="A31" s="0">
        <v>2009</v>
      </c>
      <c r="B31" s="0">
        <v>109.538556</v>
      </c>
      <c r="C31" s="0">
        <v>104.663643</v>
      </c>
      <c r="D31" s="0">
        <v>25</v>
      </c>
      <c r="E31" s="0">
        <v>17.9</v>
      </c>
      <c r="F31" s="0">
        <v>21</v>
      </c>
      <c r="G31" s="0">
        <v>23</v>
      </c>
      <c r="H31" s="0">
        <v>30.446454</v>
      </c>
      <c r="I31" s="0">
        <v>17.086117</v>
      </c>
      <c r="J31" s="0">
        <v>22.753945</v>
      </c>
      <c r="K31" s="0">
        <v>17.359235</v>
      </c>
      <c r="L31" s="0">
        <v>16.94409</v>
      </c>
      <c r="M31" s="0">
        <v>86.734807</v>
      </c>
      <c r="N31" s="0">
        <v>14.950667</v>
      </c>
      <c r="O31" s="0">
        <v>9.264029</v>
      </c>
      <c r="P31" s="0">
        <v>105.469574</v>
      </c>
      <c r="Q31" s="0">
        <v>3.775061</v>
      </c>
      <c r="R31" s="0">
        <v>2.8915</v>
      </c>
      <c r="S31" s="0">
        <v>1.3885</v>
      </c>
      <c r="T31" s="0">
        <v>5.2905</v>
      </c>
      <c r="U31" s="0">
        <v>4.10026</v>
      </c>
      <c r="V31" s="0">
        <v>1998.757342</v>
      </c>
      <c r="W31" s="0">
        <v>1606.123807</v>
      </c>
      <c r="X31" s="0">
        <v>392.633535</v>
      </c>
      <c r="Y31" s="0">
        <v>19.643882</v>
      </c>
      <c r="Z31" s="0">
        <v>85.821178</v>
      </c>
      <c r="AA31" s="0">
        <v>21.64671</v>
      </c>
      <c r="AB31" s="0">
        <v>107.467888</v>
      </c>
      <c r="AC31" s="0">
        <v>96.631448</v>
      </c>
      <c r="AD31" s="0">
        <v>110.751019</v>
      </c>
      <c r="AE31" s="0">
        <v>26.049324</v>
      </c>
      <c r="AF31" s="0">
        <v>33.73573</v>
      </c>
      <c r="AG31" s="0">
        <v>14.000076</v>
      </c>
      <c r="AH31" s="0">
        <v>19.592583</v>
      </c>
      <c r="AI31" s="0">
        <v>19.291206</v>
      </c>
      <c r="AJ31" s="0">
        <v>25.561431</v>
      </c>
      <c r="AK31" s="0">
        <v>14.569099</v>
      </c>
      <c r="AL31" s="0">
        <v>19.982393</v>
      </c>
      <c r="AM31" s="0">
        <v>82.499</v>
      </c>
      <c r="AN31" s="0">
        <v>92.080417</v>
      </c>
      <c r="AO31" s="0">
        <v>7.609025</v>
      </c>
      <c r="AP31" s="0">
        <v>11.168405</v>
      </c>
      <c r="AQ31" s="0">
        <v>99.105613</v>
      </c>
      <c r="AR31" s="0">
        <v>114.591795</v>
      </c>
      <c r="AS31" s="0">
        <v>1923.186116</v>
      </c>
      <c r="AT31" s="0">
        <v>2116.738277</v>
      </c>
      <c r="AU31" s="0">
        <v>1525.475177</v>
      </c>
      <c r="AV31" s="0">
        <v>1700.752097</v>
      </c>
      <c r="AW31" s="0">
        <v>353.746841</v>
      </c>
      <c r="AX31" s="0">
        <v>432.344842</v>
      </c>
      <c r="AY31" s="0">
        <v>18.003355</v>
      </c>
      <c r="AZ31" s="0">
        <v>21.395409</v>
      </c>
      <c r="BA31" s="0">
        <v>0.162361</v>
      </c>
      <c r="BB31" s="0">
        <v>0.238959</v>
      </c>
      <c r="BC31" s="0">
        <v>0.160689</v>
      </c>
      <c r="BD31" s="0">
        <v>0.247992</v>
      </c>
      <c r="BE31" s="0">
        <v>0.238615</v>
      </c>
      <c r="BF31" s="0">
        <v>0.328049</v>
      </c>
      <c r="BG31" s="0">
        <v>0.659206</v>
      </c>
      <c r="BH31" s="0">
        <v>1.063948</v>
      </c>
      <c r="BI31" s="0">
        <v>3.488098</v>
      </c>
      <c r="BJ31" s="0">
        <v>4.071235</v>
      </c>
      <c r="BK31" s="0">
        <v>2.6615</v>
      </c>
      <c r="BL31" s="0">
        <v>3.1445</v>
      </c>
      <c r="BM31" s="0">
        <v>1.2855</v>
      </c>
      <c r="BN31" s="0">
        <v>1.5055</v>
      </c>
      <c r="BO31" s="0">
        <v>4.8735</v>
      </c>
      <c r="BP31" s="0">
        <v>5.7315</v>
      </c>
      <c r="BQ31" s="0">
        <v>3.739902</v>
      </c>
      <c r="BR31" s="0">
        <v>4.43934</v>
      </c>
      <c r="BS31" s="0">
        <v>76.869601</v>
      </c>
      <c r="BT31" s="0">
        <v>96.672696</v>
      </c>
      <c r="BU31" s="0">
        <v>17.554127</v>
      </c>
      <c r="BV31" s="0">
        <v>26.367938</v>
      </c>
      <c r="BW31" s="0">
        <v>94.423728000000011</v>
      </c>
      <c r="BX31" s="0">
        <v>123.040634</v>
      </c>
    </row>
    <row r="32">
      <c r="A32" s="0">
        <v>2010</v>
      </c>
      <c r="B32" s="0">
        <v>100.221737</v>
      </c>
      <c r="C32" s="0">
        <v>105.33069</v>
      </c>
      <c r="D32" s="0">
        <v>28.6</v>
      </c>
      <c r="E32" s="0">
        <v>25.3</v>
      </c>
      <c r="F32" s="0">
        <v>17</v>
      </c>
      <c r="G32" s="0">
        <v>18.9</v>
      </c>
      <c r="H32" s="0">
        <v>32.717846</v>
      </c>
      <c r="I32" s="0">
        <v>18.767803</v>
      </c>
      <c r="J32" s="0">
        <v>25.002923</v>
      </c>
      <c r="K32" s="0">
        <v>18.909766</v>
      </c>
      <c r="L32" s="0">
        <v>13.137681</v>
      </c>
      <c r="M32" s="0">
        <v>88.77817</v>
      </c>
      <c r="N32" s="0">
        <v>9.384058</v>
      </c>
      <c r="O32" s="0">
        <v>8.829981</v>
      </c>
      <c r="P32" s="0">
        <v>104.333977</v>
      </c>
      <c r="Q32" s="0">
        <v>3.754793</v>
      </c>
      <c r="R32" s="0">
        <v>2.8705</v>
      </c>
      <c r="S32" s="0">
        <v>1.3775</v>
      </c>
      <c r="T32" s="0">
        <v>5.2555</v>
      </c>
      <c r="U32" s="0">
        <v>4.127997</v>
      </c>
      <c r="V32" s="0">
        <v>2090.395059</v>
      </c>
      <c r="W32" s="0">
        <v>1699.147566</v>
      </c>
      <c r="X32" s="0">
        <v>391.247493</v>
      </c>
      <c r="Y32" s="0">
        <v>18.716438</v>
      </c>
      <c r="Z32" s="0">
        <v>84.846071</v>
      </c>
      <c r="AA32" s="0">
        <v>20.590288</v>
      </c>
      <c r="AB32" s="0">
        <v>105.436359</v>
      </c>
      <c r="AC32" s="0">
        <v>96.546242</v>
      </c>
      <c r="AD32" s="0">
        <v>111.764352</v>
      </c>
      <c r="AE32" s="0">
        <v>27.587635</v>
      </c>
      <c r="AF32" s="0">
        <v>36.091688</v>
      </c>
      <c r="AG32" s="0">
        <v>14.863655</v>
      </c>
      <c r="AH32" s="0">
        <v>22.234299</v>
      </c>
      <c r="AI32" s="0">
        <v>21.611556</v>
      </c>
      <c r="AJ32" s="0">
        <v>28.253252</v>
      </c>
      <c r="AK32" s="0">
        <v>16.255293</v>
      </c>
      <c r="AL32" s="0">
        <v>21.48769</v>
      </c>
      <c r="AM32" s="0">
        <v>84.355194</v>
      </c>
      <c r="AN32" s="0">
        <v>94.618413</v>
      </c>
      <c r="AO32" s="0">
        <v>7.103357</v>
      </c>
      <c r="AP32" s="0">
        <v>10.822555</v>
      </c>
      <c r="AQ32" s="0">
        <v>97.771903</v>
      </c>
      <c r="AR32" s="0">
        <v>113.680447</v>
      </c>
      <c r="AS32" s="0">
        <v>2013.052227</v>
      </c>
      <c r="AT32" s="0">
        <v>2213.700928</v>
      </c>
      <c r="AU32" s="0">
        <v>1607.178911</v>
      </c>
      <c r="AV32" s="0">
        <v>1798.493001</v>
      </c>
      <c r="AW32" s="0">
        <v>351.860347</v>
      </c>
      <c r="AX32" s="0">
        <v>433.479613</v>
      </c>
      <c r="AY32" s="0">
        <v>16.971049</v>
      </c>
      <c r="AZ32" s="0">
        <v>20.494018</v>
      </c>
      <c r="BA32" s="0">
        <v>0.158056</v>
      </c>
      <c r="BB32" s="0">
        <v>0.229448</v>
      </c>
      <c r="BC32" s="0">
        <v>0.156141</v>
      </c>
      <c r="BD32" s="0">
        <v>0.25726</v>
      </c>
      <c r="BE32" s="0">
        <v>0.244758</v>
      </c>
      <c r="BF32" s="0">
        <v>0.34562</v>
      </c>
      <c r="BG32" s="0">
        <v>0.681868</v>
      </c>
      <c r="BH32" s="0">
        <v>1.162984</v>
      </c>
      <c r="BI32" s="0">
        <v>3.432161</v>
      </c>
      <c r="BJ32" s="0">
        <v>4.081993</v>
      </c>
      <c r="BK32" s="0">
        <v>2.6115</v>
      </c>
      <c r="BL32" s="0">
        <v>3.1125</v>
      </c>
      <c r="BM32" s="0">
        <v>1.2625</v>
      </c>
      <c r="BN32" s="0">
        <v>1.4845</v>
      </c>
      <c r="BO32" s="0">
        <v>4.7875</v>
      </c>
      <c r="BP32" s="0">
        <v>5.7105</v>
      </c>
      <c r="BQ32" s="0">
        <v>3.78957</v>
      </c>
      <c r="BR32" s="0">
        <v>4.460226</v>
      </c>
      <c r="BS32" s="0">
        <v>75.273227</v>
      </c>
      <c r="BT32" s="0">
        <v>95.792167</v>
      </c>
      <c r="BU32" s="0">
        <v>16.38881</v>
      </c>
      <c r="BV32" s="0">
        <v>25.441529</v>
      </c>
      <c r="BW32" s="0">
        <v>91.662037</v>
      </c>
      <c r="BX32" s="0">
        <v>121.23369600000001</v>
      </c>
    </row>
    <row r="33">
      <c r="A33" s="0">
        <v>2011</v>
      </c>
      <c r="B33" s="0">
        <v>93.492954</v>
      </c>
      <c r="C33" s="0">
        <v>105.465466</v>
      </c>
      <c r="D33" s="0">
        <v>26</v>
      </c>
      <c r="E33" s="0">
        <v>10</v>
      </c>
      <c r="F33" s="0">
        <v>19</v>
      </c>
      <c r="G33" s="0">
        <v>13</v>
      </c>
      <c r="H33" s="0">
        <v>27.71693</v>
      </c>
      <c r="I33" s="0">
        <v>16.245275</v>
      </c>
      <c r="J33" s="0">
        <v>21.636217</v>
      </c>
      <c r="K33" s="0">
        <v>16.203619</v>
      </c>
      <c r="L33" s="0">
        <v>16.730318</v>
      </c>
      <c r="M33" s="0">
        <v>90.625179</v>
      </c>
      <c r="N33" s="0">
        <v>12.793773</v>
      </c>
      <c r="O33" s="0">
        <v>8.386676</v>
      </c>
      <c r="P33" s="0">
        <v>102.631942</v>
      </c>
      <c r="Q33" s="0">
        <v>3.736123</v>
      </c>
      <c r="R33" s="0">
        <v>2.8495</v>
      </c>
      <c r="S33" s="0">
        <v>1.3675</v>
      </c>
      <c r="T33" s="0">
        <v>5.2245</v>
      </c>
      <c r="U33" s="0">
        <v>4.155442</v>
      </c>
      <c r="V33" s="0">
        <v>2181.616626</v>
      </c>
      <c r="W33" s="0">
        <v>1793.572441</v>
      </c>
      <c r="X33" s="0">
        <v>388.044185</v>
      </c>
      <c r="Y33" s="0">
        <v>17.787002</v>
      </c>
      <c r="Z33" s="0">
        <v>83.462733</v>
      </c>
      <c r="AA33" s="0">
        <v>19.515595</v>
      </c>
      <c r="AB33" s="0">
        <v>102.978328</v>
      </c>
      <c r="AC33" s="0">
        <v>96.156427</v>
      </c>
      <c r="AD33" s="0">
        <v>112.532765</v>
      </c>
      <c r="AE33" s="0">
        <v>22.516318</v>
      </c>
      <c r="AF33" s="0">
        <v>32.071105</v>
      </c>
      <c r="AG33" s="0">
        <v>12.203896</v>
      </c>
      <c r="AH33" s="0">
        <v>19.955889</v>
      </c>
      <c r="AI33" s="0">
        <v>17.998524</v>
      </c>
      <c r="AJ33" s="0">
        <v>25.569938</v>
      </c>
      <c r="AK33" s="0">
        <v>13.296912</v>
      </c>
      <c r="AL33" s="0">
        <v>19.050589</v>
      </c>
      <c r="AM33" s="0">
        <v>86.009965</v>
      </c>
      <c r="AN33" s="0">
        <v>96.339679</v>
      </c>
      <c r="AO33" s="0">
        <v>6.632204</v>
      </c>
      <c r="AP33" s="0">
        <v>10.418512</v>
      </c>
      <c r="AQ33" s="0">
        <v>96.010577</v>
      </c>
      <c r="AR33" s="0">
        <v>110.980057</v>
      </c>
      <c r="AS33" s="0">
        <v>2103.423419</v>
      </c>
      <c r="AT33" s="0">
        <v>2304.613483</v>
      </c>
      <c r="AU33" s="0">
        <v>1697.706573</v>
      </c>
      <c r="AV33" s="0">
        <v>1897.176784</v>
      </c>
      <c r="AW33" s="0">
        <v>344.734225</v>
      </c>
      <c r="AX33" s="0">
        <v>431.898231</v>
      </c>
      <c r="AY33" s="0">
        <v>15.965951</v>
      </c>
      <c r="AZ33" s="0">
        <v>19.583095</v>
      </c>
      <c r="BA33" s="0">
        <v>0.152206</v>
      </c>
      <c r="BB33" s="0">
        <v>0.231156</v>
      </c>
      <c r="BC33" s="0">
        <v>0.152695</v>
      </c>
      <c r="BD33" s="0">
        <v>0.266529</v>
      </c>
      <c r="BE33" s="0">
        <v>0.247437</v>
      </c>
      <c r="BF33" s="0">
        <v>0.36319</v>
      </c>
      <c r="BG33" s="0">
        <v>0.690789</v>
      </c>
      <c r="BH33" s="0">
        <v>1.25283</v>
      </c>
      <c r="BI33" s="0">
        <v>3.379547</v>
      </c>
      <c r="BJ33" s="0">
        <v>4.096156</v>
      </c>
      <c r="BK33" s="0">
        <v>2.5655</v>
      </c>
      <c r="BL33" s="0">
        <v>3.1265</v>
      </c>
      <c r="BM33" s="0">
        <v>1.2415</v>
      </c>
      <c r="BN33" s="0">
        <v>1.4905</v>
      </c>
      <c r="BO33" s="0">
        <v>4.7065</v>
      </c>
      <c r="BP33" s="0">
        <v>5.7315</v>
      </c>
      <c r="BQ33" s="0">
        <v>3.815315</v>
      </c>
      <c r="BR33" s="0">
        <v>4.471675</v>
      </c>
      <c r="BS33" s="0">
        <v>72.898655</v>
      </c>
      <c r="BT33" s="0">
        <v>93.697481</v>
      </c>
      <c r="BU33" s="0">
        <v>15.30289</v>
      </c>
      <c r="BV33" s="0">
        <v>24.416569</v>
      </c>
      <c r="BW33" s="0">
        <v>88.20154500000001</v>
      </c>
      <c r="BX33" s="0">
        <v>118.11404999999999</v>
      </c>
    </row>
    <row r="34">
      <c r="A34" s="0">
        <v>2012</v>
      </c>
      <c r="B34" s="0">
        <v>103.511818</v>
      </c>
      <c r="C34" s="0">
        <v>105.056394</v>
      </c>
      <c r="D34" s="0">
        <v>31</v>
      </c>
      <c r="E34" s="0">
        <v>18</v>
      </c>
      <c r="F34" s="0">
        <v>22</v>
      </c>
      <c r="G34" s="0">
        <v>17.6</v>
      </c>
      <c r="H34" s="0">
        <v>28.960471</v>
      </c>
      <c r="I34" s="0">
        <v>17.338234</v>
      </c>
      <c r="J34" s="0">
        <v>23.072699</v>
      </c>
      <c r="K34" s="0">
        <v>17.095795</v>
      </c>
      <c r="L34" s="0">
        <v>5.994893</v>
      </c>
      <c r="M34" s="0">
        <v>92.251456</v>
      </c>
      <c r="N34" s="0">
        <v>3.996595</v>
      </c>
      <c r="O34" s="0">
        <v>7.936727</v>
      </c>
      <c r="P34" s="0">
        <v>100.356366</v>
      </c>
      <c r="Q34" s="0">
        <v>3.718923</v>
      </c>
      <c r="R34" s="0">
        <v>2.8305</v>
      </c>
      <c r="S34" s="0">
        <v>1.3575</v>
      </c>
      <c r="T34" s="0">
        <v>5.1955</v>
      </c>
      <c r="U34" s="0">
        <v>4.183722</v>
      </c>
      <c r="V34" s="0">
        <v>2273.414968</v>
      </c>
      <c r="W34" s="0">
        <v>1890.420756</v>
      </c>
      <c r="X34" s="0">
        <v>382.994212</v>
      </c>
      <c r="Y34" s="0">
        <v>16.846648</v>
      </c>
      <c r="Z34" s="0">
        <v>81.683965</v>
      </c>
      <c r="AA34" s="0">
        <v>18.427887</v>
      </c>
      <c r="AB34" s="0">
        <v>100.111852</v>
      </c>
      <c r="AC34" s="0">
        <v>95.523531</v>
      </c>
      <c r="AD34" s="0">
        <v>112.118042</v>
      </c>
      <c r="AE34" s="0">
        <v>23.403598</v>
      </c>
      <c r="AF34" s="0">
        <v>33.51632</v>
      </c>
      <c r="AG34" s="0">
        <v>12.452644</v>
      </c>
      <c r="AH34" s="0">
        <v>20.823385</v>
      </c>
      <c r="AI34" s="0">
        <v>18.744072</v>
      </c>
      <c r="AJ34" s="0">
        <v>26.63804</v>
      </c>
      <c r="AK34" s="0">
        <v>14.397099</v>
      </c>
      <c r="AL34" s="0">
        <v>20.221002</v>
      </c>
      <c r="AM34" s="0">
        <v>87.475092</v>
      </c>
      <c r="AN34" s="0">
        <v>97.617746</v>
      </c>
      <c r="AO34" s="0">
        <v>6.192883</v>
      </c>
      <c r="AP34" s="0">
        <v>9.973965</v>
      </c>
      <c r="AQ34" s="0">
        <v>93.76624</v>
      </c>
      <c r="AR34" s="0">
        <v>108.605342</v>
      </c>
      <c r="AS34" s="0">
        <v>2191.915317</v>
      </c>
      <c r="AT34" s="0">
        <v>2394.25946</v>
      </c>
      <c r="AU34" s="0">
        <v>1792.048955</v>
      </c>
      <c r="AV34" s="0">
        <v>1997.724071</v>
      </c>
      <c r="AW34" s="0">
        <v>336.422736</v>
      </c>
      <c r="AX34" s="0">
        <v>433.104914</v>
      </c>
      <c r="AY34" s="0">
        <v>15.153721</v>
      </c>
      <c r="AZ34" s="0">
        <v>18.648117</v>
      </c>
      <c r="BA34" s="0">
        <v>0.143955</v>
      </c>
      <c r="BB34" s="0">
        <v>0.238241</v>
      </c>
      <c r="BC34" s="0">
        <v>0.149249</v>
      </c>
      <c r="BD34" s="0">
        <v>0.275798</v>
      </c>
      <c r="BE34" s="0">
        <v>0.253813</v>
      </c>
      <c r="BF34" s="0">
        <v>0.38367</v>
      </c>
      <c r="BG34" s="0">
        <v>0.69971</v>
      </c>
      <c r="BH34" s="0">
        <v>1.342676</v>
      </c>
      <c r="BI34" s="0">
        <v>3.331452</v>
      </c>
      <c r="BJ34" s="0">
        <v>4.136863</v>
      </c>
      <c r="BK34" s="0">
        <v>2.5335</v>
      </c>
      <c r="BL34" s="0">
        <v>3.1425</v>
      </c>
      <c r="BM34" s="0">
        <v>1.2255</v>
      </c>
      <c r="BN34" s="0">
        <v>1.4965</v>
      </c>
      <c r="BO34" s="0">
        <v>4.6465</v>
      </c>
      <c r="BP34" s="0">
        <v>5.7865</v>
      </c>
      <c r="BQ34" s="0">
        <v>3.905885</v>
      </c>
      <c r="BR34" s="0">
        <v>4.501651</v>
      </c>
      <c r="BS34" s="0">
        <v>70.25922</v>
      </c>
      <c r="BT34" s="0">
        <v>91.972958</v>
      </c>
      <c r="BU34" s="0">
        <v>14.289223</v>
      </c>
      <c r="BV34" s="0">
        <v>23.294139</v>
      </c>
      <c r="BW34" s="0">
        <v>84.548442999999992</v>
      </c>
      <c r="BX34" s="0">
        <v>115.267097</v>
      </c>
    </row>
    <row r="35">
      <c r="A35" s="0">
        <v>2013</v>
      </c>
      <c r="B35" s="0">
        <v>102.411453</v>
      </c>
      <c r="C35" s="0">
        <v>102.478494</v>
      </c>
      <c r="D35" s="0">
        <v>20</v>
      </c>
      <c r="E35" s="0">
        <v>17</v>
      </c>
      <c r="F35" s="0">
        <v>23</v>
      </c>
      <c r="G35" s="0">
        <v>16</v>
      </c>
      <c r="H35" s="0">
        <v>25.376913</v>
      </c>
      <c r="I35" s="0">
        <v>15.174236</v>
      </c>
      <c r="J35" s="0">
        <v>19.781917</v>
      </c>
      <c r="K35" s="0">
        <v>15.433457</v>
      </c>
      <c r="L35" s="0">
        <v>7.097823</v>
      </c>
      <c r="M35" s="0">
        <v>93.637464</v>
      </c>
      <c r="N35" s="0">
        <v>7.097823</v>
      </c>
      <c r="O35" s="0">
        <v>7.457674</v>
      </c>
      <c r="P35" s="0">
        <v>97.500171</v>
      </c>
      <c r="Q35" s="0">
        <v>3.703082</v>
      </c>
      <c r="R35" s="0">
        <v>2.8125</v>
      </c>
      <c r="S35" s="0">
        <v>1.3475</v>
      </c>
      <c r="T35" s="0">
        <v>5.1685</v>
      </c>
      <c r="U35" s="0">
        <v>4.216369</v>
      </c>
      <c r="V35" s="0">
        <v>2359.868672</v>
      </c>
      <c r="W35" s="0">
        <v>1982.181605</v>
      </c>
      <c r="X35" s="0">
        <v>377.687067</v>
      </c>
      <c r="Y35" s="0">
        <v>16.00458</v>
      </c>
      <c r="Z35" s="0">
        <v>80.660909</v>
      </c>
      <c r="AA35" s="0">
        <v>17.165434</v>
      </c>
      <c r="AB35" s="0">
        <v>97.826343000000008</v>
      </c>
      <c r="AC35" s="0">
        <v>94.439595</v>
      </c>
      <c r="AD35" s="0">
        <v>109.213786</v>
      </c>
      <c r="AE35" s="0">
        <v>20.784692</v>
      </c>
      <c r="AF35" s="0">
        <v>30.009579</v>
      </c>
      <c r="AG35" s="0">
        <v>11.735847</v>
      </c>
      <c r="AH35" s="0">
        <v>18.34254</v>
      </c>
      <c r="AI35" s="0">
        <v>16.838338</v>
      </c>
      <c r="AJ35" s="0">
        <v>23.410961</v>
      </c>
      <c r="AK35" s="0">
        <v>12.560395</v>
      </c>
      <c r="AL35" s="0">
        <v>17.926461</v>
      </c>
      <c r="AM35" s="0">
        <v>88.868226</v>
      </c>
      <c r="AN35" s="0">
        <v>98.554023</v>
      </c>
      <c r="AO35" s="0">
        <v>5.759619</v>
      </c>
      <c r="AP35" s="0">
        <v>9.420733</v>
      </c>
      <c r="AQ35" s="0">
        <v>90.72929</v>
      </c>
      <c r="AR35" s="0">
        <v>105.653847</v>
      </c>
      <c r="AS35" s="0">
        <v>2274.124392</v>
      </c>
      <c r="AT35" s="0">
        <v>2479.194347</v>
      </c>
      <c r="AU35" s="0">
        <v>1882.072683</v>
      </c>
      <c r="AV35" s="0">
        <v>2092.111118</v>
      </c>
      <c r="AW35" s="0">
        <v>332.59816</v>
      </c>
      <c r="AX35" s="0">
        <v>429.016463</v>
      </c>
      <c r="AY35" s="0">
        <v>14.506702</v>
      </c>
      <c r="AZ35" s="0">
        <v>17.754304</v>
      </c>
      <c r="BA35" s="0">
        <v>0.138294</v>
      </c>
      <c r="BB35" s="0">
        <v>0.242591</v>
      </c>
      <c r="BC35" s="0">
        <v>0.14823</v>
      </c>
      <c r="BD35" s="0">
        <v>0.285066</v>
      </c>
      <c r="BE35" s="0">
        <v>0.260189</v>
      </c>
      <c r="BF35" s="0">
        <v>0.402509</v>
      </c>
      <c r="BG35" s="0">
        <v>0.708631</v>
      </c>
      <c r="BH35" s="0">
        <v>1.432523</v>
      </c>
      <c r="BI35" s="0">
        <v>3.29902</v>
      </c>
      <c r="BJ35" s="0">
        <v>4.17669</v>
      </c>
      <c r="BK35" s="0">
        <v>2.4975</v>
      </c>
      <c r="BL35" s="0">
        <v>3.1615</v>
      </c>
      <c r="BM35" s="0">
        <v>1.2055</v>
      </c>
      <c r="BN35" s="0">
        <v>1.5025</v>
      </c>
      <c r="BO35" s="0">
        <v>4.5965</v>
      </c>
      <c r="BP35" s="0">
        <v>5.8325</v>
      </c>
      <c r="BQ35" s="0">
        <v>3.932527</v>
      </c>
      <c r="BR35" s="0">
        <v>4.51382</v>
      </c>
      <c r="BS35" s="0">
        <v>68.742969</v>
      </c>
      <c r="BT35" s="0">
        <v>91.485889</v>
      </c>
      <c r="BU35" s="0">
        <v>13.322527</v>
      </c>
      <c r="BV35" s="0">
        <v>21.405013</v>
      </c>
      <c r="BW35" s="0">
        <v>82.065496</v>
      </c>
      <c r="BX35" s="0">
        <v>112.890902</v>
      </c>
    </row>
    <row r="36">
      <c r="A36" s="0">
        <v>2014</v>
      </c>
      <c r="B36" s="0">
        <v>101.126144</v>
      </c>
      <c r="C36" s="0">
        <v>98.226517</v>
      </c>
      <c r="D36" s="0">
        <v>24</v>
      </c>
      <c r="E36" s="0">
        <v>18</v>
      </c>
      <c r="F36" s="0">
        <v>21</v>
      </c>
      <c r="G36" s="0">
        <v>26</v>
      </c>
      <c r="H36" s="0">
        <v>27.994362</v>
      </c>
      <c r="I36" s="0">
        <v>16.413796</v>
      </c>
      <c r="J36" s="0">
        <v>20.691096</v>
      </c>
      <c r="K36" s="0">
        <v>17.807576</v>
      </c>
      <c r="L36" s="0">
        <v>3.127613</v>
      </c>
      <c r="M36" s="0">
        <v>94.74425</v>
      </c>
      <c r="N36" s="0">
        <v>3.127613</v>
      </c>
      <c r="O36" s="0">
        <v>6.937216</v>
      </c>
      <c r="P36" s="0">
        <v>94.05628</v>
      </c>
      <c r="Q36" s="0">
        <v>3.783732</v>
      </c>
      <c r="R36" s="0">
        <v>2.8775</v>
      </c>
      <c r="S36" s="0">
        <v>1.3745</v>
      </c>
      <c r="T36" s="0">
        <v>5.2865</v>
      </c>
      <c r="U36" s="0">
        <v>4.251592</v>
      </c>
      <c r="V36" s="0">
        <v>2438.218545</v>
      </c>
      <c r="W36" s="0">
        <v>2065.007588</v>
      </c>
      <c r="X36" s="0">
        <v>373.210957</v>
      </c>
      <c r="Y36" s="0">
        <v>15.306707</v>
      </c>
      <c r="Z36" s="0">
        <v>80.941298</v>
      </c>
      <c r="AA36" s="0">
        <v>16.005961</v>
      </c>
      <c r="AB36" s="0">
        <v>96.947259</v>
      </c>
      <c r="AC36" s="0">
        <v>92.012656</v>
      </c>
      <c r="AD36" s="0">
        <v>105.382612</v>
      </c>
      <c r="AE36" s="0">
        <v>22.787267</v>
      </c>
      <c r="AF36" s="0">
        <v>32.166304</v>
      </c>
      <c r="AG36" s="0">
        <v>13.279365</v>
      </c>
      <c r="AH36" s="0">
        <v>19.261524</v>
      </c>
      <c r="AI36" s="0">
        <v>18.176749</v>
      </c>
      <c r="AJ36" s="0">
        <v>23.56073</v>
      </c>
      <c r="AK36" s="0">
        <v>15.296565</v>
      </c>
      <c r="AL36" s="0">
        <v>20.672983</v>
      </c>
      <c r="AM36" s="0">
        <v>90.19813</v>
      </c>
      <c r="AN36" s="0">
        <v>99.193258</v>
      </c>
      <c r="AO36" s="0">
        <v>5.462371</v>
      </c>
      <c r="AP36" s="0">
        <v>8.465386</v>
      </c>
      <c r="AQ36" s="0">
        <v>86.57951</v>
      </c>
      <c r="AR36" s="0">
        <v>101.184871</v>
      </c>
      <c r="AS36" s="0">
        <v>2349.118565</v>
      </c>
      <c r="AT36" s="0">
        <v>2555.285049</v>
      </c>
      <c r="AU36" s="0">
        <v>1964.717704</v>
      </c>
      <c r="AV36" s="0">
        <v>2175.592876</v>
      </c>
      <c r="AW36" s="0">
        <v>328.134595</v>
      </c>
      <c r="AX36" s="0">
        <v>426.100051</v>
      </c>
      <c r="AY36" s="0">
        <v>13.968413</v>
      </c>
      <c r="AZ36" s="0">
        <v>16.915052</v>
      </c>
      <c r="BA36" s="0">
        <v>0.141742</v>
      </c>
      <c r="BB36" s="0">
        <v>0.235338</v>
      </c>
      <c r="BC36" s="0">
        <v>0.148843</v>
      </c>
      <c r="BD36" s="0">
        <v>0.26482</v>
      </c>
      <c r="BE36" s="0">
        <v>0.246721</v>
      </c>
      <c r="BF36" s="0">
        <v>0.361841</v>
      </c>
      <c r="BG36" s="0">
        <v>0.894029</v>
      </c>
      <c r="BH36" s="0">
        <v>1.466381</v>
      </c>
      <c r="BI36" s="0">
        <v>3.407029</v>
      </c>
      <c r="BJ36" s="0">
        <v>4.190176</v>
      </c>
      <c r="BK36" s="0">
        <v>2.5715</v>
      </c>
      <c r="BL36" s="0">
        <v>3.2045</v>
      </c>
      <c r="BM36" s="0">
        <v>1.2385</v>
      </c>
      <c r="BN36" s="0">
        <v>1.5135</v>
      </c>
      <c r="BO36" s="0">
        <v>4.7345</v>
      </c>
      <c r="BP36" s="0">
        <v>5.8755</v>
      </c>
      <c r="BQ36" s="0">
        <v>3.924031</v>
      </c>
      <c r="BR36" s="0">
        <v>4.554902</v>
      </c>
      <c r="BS36" s="0">
        <v>68.920957</v>
      </c>
      <c r="BT36" s="0">
        <v>92.1348</v>
      </c>
      <c r="BU36" s="0">
        <v>12.561788</v>
      </c>
      <c r="BV36" s="0">
        <v>19.561776</v>
      </c>
      <c r="BW36" s="0">
        <v>81.482745</v>
      </c>
      <c r="BX36" s="0">
        <v>111.696576</v>
      </c>
    </row>
    <row r="37">
      <c r="A37" s="0">
        <v>2015</v>
      </c>
      <c r="B37" s="0">
        <v>98.752098</v>
      </c>
      <c r="C37" s="0">
        <v>94.259712</v>
      </c>
      <c r="D37" s="0">
        <v>36</v>
      </c>
      <c r="E37" s="0">
        <v>9</v>
      </c>
      <c r="F37" s="0">
        <v>15</v>
      </c>
      <c r="G37" s="0">
        <v>18</v>
      </c>
      <c r="H37" s="0">
        <v>24.995017</v>
      </c>
      <c r="I37" s="0">
        <v>14.42371</v>
      </c>
      <c r="J37" s="0">
        <v>17.688771</v>
      </c>
      <c r="K37" s="0">
        <v>16.732732</v>
      </c>
      <c r="L37" s="0">
        <v>6.046047</v>
      </c>
      <c r="M37" s="0">
        <v>95.541489</v>
      </c>
      <c r="N37" s="0">
        <v>6.046047</v>
      </c>
      <c r="O37" s="0">
        <v>6.49771</v>
      </c>
      <c r="P37" s="0">
        <v>90.017615</v>
      </c>
      <c r="Q37" s="0">
        <v>3.870853</v>
      </c>
      <c r="R37" s="0">
        <v>2.9485</v>
      </c>
      <c r="S37" s="0">
        <v>1.4045</v>
      </c>
      <c r="T37" s="0">
        <v>5.4145</v>
      </c>
      <c r="U37" s="0">
        <v>4.302842</v>
      </c>
      <c r="V37" s="0">
        <v>2520.826726</v>
      </c>
      <c r="W37" s="0">
        <v>2152.144362</v>
      </c>
      <c r="X37" s="0">
        <v>368.682364</v>
      </c>
      <c r="Y37" s="0">
        <v>14.625454</v>
      </c>
      <c r="Z37" s="0">
        <v>81.911251</v>
      </c>
      <c r="AA37" s="0">
        <v>15.088314</v>
      </c>
      <c r="AB37" s="0">
        <v>96.99956499999999</v>
      </c>
      <c r="AC37" s="0">
        <v>88.573177</v>
      </c>
      <c r="AD37" s="0">
        <v>101.3092</v>
      </c>
      <c r="AE37" s="0">
        <v>21.281163</v>
      </c>
      <c r="AF37" s="0">
        <v>28.73653</v>
      </c>
      <c r="AG37" s="0">
        <v>11.983461</v>
      </c>
      <c r="AH37" s="0">
        <v>17.458312</v>
      </c>
      <c r="AI37" s="0">
        <v>14.879878</v>
      </c>
      <c r="AJ37" s="0">
        <v>20.750368</v>
      </c>
      <c r="AK37" s="0">
        <v>14.574084</v>
      </c>
      <c r="AL37" s="0">
        <v>20.050748</v>
      </c>
      <c r="AM37" s="0">
        <v>91.361889</v>
      </c>
      <c r="AN37" s="0">
        <v>100.066365</v>
      </c>
      <c r="AO37" s="0">
        <v>5.021268</v>
      </c>
      <c r="AP37" s="0">
        <v>7.986596</v>
      </c>
      <c r="AQ37" s="0">
        <v>81.493716</v>
      </c>
      <c r="AR37" s="0">
        <v>97.975185</v>
      </c>
      <c r="AS37" s="0">
        <v>2429.426778</v>
      </c>
      <c r="AT37" s="0">
        <v>2637.392203</v>
      </c>
      <c r="AU37" s="0">
        <v>2052.77578</v>
      </c>
      <c r="AV37" s="0">
        <v>2261.610739</v>
      </c>
      <c r="AW37" s="0">
        <v>325.988851</v>
      </c>
      <c r="AX37" s="0">
        <v>420.222604</v>
      </c>
      <c r="AY37" s="0">
        <v>13.37381</v>
      </c>
      <c r="AZ37" s="0">
        <v>16.135125</v>
      </c>
      <c r="BA37" s="0">
        <v>0.144435</v>
      </c>
      <c r="BB37" s="0">
        <v>0.225798</v>
      </c>
      <c r="BC37" s="0">
        <v>0.152126</v>
      </c>
      <c r="BD37" s="0">
        <v>0.246033</v>
      </c>
      <c r="BE37" s="0">
        <v>0.224981</v>
      </c>
      <c r="BF37" s="0">
        <v>0.320119</v>
      </c>
      <c r="BG37" s="0">
        <v>0.991152</v>
      </c>
      <c r="BH37" s="0">
        <v>1.642497</v>
      </c>
      <c r="BI37" s="0">
        <v>3.538818</v>
      </c>
      <c r="BJ37" s="0">
        <v>4.178405</v>
      </c>
      <c r="BK37" s="0">
        <v>2.6725</v>
      </c>
      <c r="BL37" s="0">
        <v>3.2075</v>
      </c>
      <c r="BM37" s="0">
        <v>1.2775</v>
      </c>
      <c r="BN37" s="0">
        <v>1.5245</v>
      </c>
      <c r="BO37" s="0">
        <v>4.9285</v>
      </c>
      <c r="BP37" s="0">
        <v>5.8675</v>
      </c>
      <c r="BQ37" s="0">
        <v>3.925015</v>
      </c>
      <c r="BR37" s="0">
        <v>4.619207</v>
      </c>
      <c r="BS37" s="0">
        <v>70.237173</v>
      </c>
      <c r="BT37" s="0">
        <v>92.920942</v>
      </c>
      <c r="BU37" s="0">
        <v>11.364141</v>
      </c>
      <c r="BV37" s="0">
        <v>18.704927</v>
      </c>
      <c r="BW37" s="0">
        <v>81.601314</v>
      </c>
      <c r="BX37" s="0">
        <v>111.625869</v>
      </c>
    </row>
    <row r="38">
      <c r="A38" s="0">
        <v>2016</v>
      </c>
      <c r="B38" s="0">
        <v>75.854332</v>
      </c>
      <c r="C38" s="0">
        <v>90.414279</v>
      </c>
      <c r="D38" s="0">
        <v>24</v>
      </c>
      <c r="E38" s="0">
        <v>10</v>
      </c>
      <c r="F38" s="0">
        <v>13</v>
      </c>
      <c r="G38" s="0">
        <v>9</v>
      </c>
      <c r="H38" s="0">
        <v>22.135144</v>
      </c>
      <c r="I38" s="0">
        <v>12.592575</v>
      </c>
      <c r="J38" s="0">
        <v>15.04522</v>
      </c>
      <c r="K38" s="0">
        <v>15.75435</v>
      </c>
      <c r="L38" s="0">
        <v>3.840726</v>
      </c>
      <c r="M38" s="0">
        <v>96.010533</v>
      </c>
      <c r="N38" s="0">
        <v>3.840726</v>
      </c>
      <c r="O38" s="0">
        <v>6.148988</v>
      </c>
      <c r="P38" s="0">
        <v>85.377097</v>
      </c>
      <c r="Q38" s="0">
        <v>3.96504</v>
      </c>
      <c r="R38" s="0">
        <v>3.0255</v>
      </c>
      <c r="S38" s="0">
        <v>1.4375</v>
      </c>
      <c r="T38" s="0">
        <v>5.5535</v>
      </c>
      <c r="U38" s="0">
        <v>4.376018</v>
      </c>
      <c r="V38" s="0">
        <v>2594.394443</v>
      </c>
      <c r="W38" s="0">
        <v>2231.02038</v>
      </c>
      <c r="X38" s="0">
        <v>363.374062</v>
      </c>
      <c r="Y38" s="0">
        <v>14.006122</v>
      </c>
      <c r="Z38" s="0">
        <v>83.193329</v>
      </c>
      <c r="AA38" s="0">
        <v>14.346775</v>
      </c>
      <c r="AB38" s="0">
        <v>97.540104</v>
      </c>
      <c r="AC38" s="0">
        <v>83.283063</v>
      </c>
      <c r="AD38" s="0">
        <v>98.61709</v>
      </c>
      <c r="AE38" s="0">
        <v>18.37259</v>
      </c>
      <c r="AF38" s="0">
        <v>26.948228</v>
      </c>
      <c r="AG38" s="0">
        <v>10.210104</v>
      </c>
      <c r="AH38" s="0">
        <v>15.324043</v>
      </c>
      <c r="AI38" s="0">
        <v>12.054442</v>
      </c>
      <c r="AJ38" s="0">
        <v>18.179523</v>
      </c>
      <c r="AK38" s="0">
        <v>13.502353</v>
      </c>
      <c r="AL38" s="0">
        <v>18.617682</v>
      </c>
      <c r="AM38" s="0">
        <v>91.914653</v>
      </c>
      <c r="AN38" s="0">
        <v>100.587565</v>
      </c>
      <c r="AO38" s="0">
        <v>4.558849</v>
      </c>
      <c r="AP38" s="0">
        <v>7.675187</v>
      </c>
      <c r="AQ38" s="0">
        <v>75.735439</v>
      </c>
      <c r="AR38" s="0">
        <v>96.038785</v>
      </c>
      <c r="AS38" s="0">
        <v>2498.793031</v>
      </c>
      <c r="AT38" s="0">
        <v>2720.480377</v>
      </c>
      <c r="AU38" s="0">
        <v>2133.155821</v>
      </c>
      <c r="AV38" s="0">
        <v>2340.239502</v>
      </c>
      <c r="AW38" s="0">
        <v>322.354157</v>
      </c>
      <c r="AX38" s="0">
        <v>409.721285</v>
      </c>
      <c r="AY38" s="0">
        <v>12.697607</v>
      </c>
      <c r="AZ38" s="0">
        <v>15.386945</v>
      </c>
      <c r="BA38" s="0">
        <v>0.143224</v>
      </c>
      <c r="BB38" s="0">
        <v>0.22225</v>
      </c>
      <c r="BC38" s="0">
        <v>0.153616</v>
      </c>
      <c r="BD38" s="0">
        <v>0.237344</v>
      </c>
      <c r="BE38" s="0">
        <v>0.203242</v>
      </c>
      <c r="BF38" s="0">
        <v>0.288858</v>
      </c>
      <c r="BG38" s="0">
        <v>1.062136</v>
      </c>
      <c r="BH38" s="0">
        <v>1.895875</v>
      </c>
      <c r="BI38" s="0">
        <v>3.617478</v>
      </c>
      <c r="BJ38" s="0">
        <v>4.295926</v>
      </c>
      <c r="BK38" s="0">
        <v>2.7475</v>
      </c>
      <c r="BL38" s="0">
        <v>3.2855</v>
      </c>
      <c r="BM38" s="0">
        <v>1.3075</v>
      </c>
      <c r="BN38" s="0">
        <v>1.5565</v>
      </c>
      <c r="BO38" s="0">
        <v>5.0535</v>
      </c>
      <c r="BP38" s="0">
        <v>6.0205</v>
      </c>
      <c r="BQ38" s="0">
        <v>3.961188</v>
      </c>
      <c r="BR38" s="0">
        <v>4.693007</v>
      </c>
      <c r="BS38" s="0">
        <v>71.990478</v>
      </c>
      <c r="BT38" s="0">
        <v>93.579185</v>
      </c>
      <c r="BU38" s="0">
        <v>10.279589</v>
      </c>
      <c r="BV38" s="0">
        <v>18.088802</v>
      </c>
      <c r="BW38" s="0">
        <v>82.270067</v>
      </c>
      <c r="BX38" s="0">
        <v>111.667987</v>
      </c>
    </row>
    <row r="39">
      <c r="A39" s="0">
        <v>2017</v>
      </c>
      <c r="B39" s="0">
        <v>92</v>
      </c>
      <c r="C39" s="0">
        <v>86.484665</v>
      </c>
      <c r="D39" s="0">
        <v>27</v>
      </c>
      <c r="E39" s="0">
        <v>12</v>
      </c>
      <c r="F39" s="0">
        <v>16</v>
      </c>
      <c r="G39" s="0">
        <v>17</v>
      </c>
      <c r="H39" s="0">
        <v>23.788195</v>
      </c>
      <c r="I39" s="0">
        <v>13.347803</v>
      </c>
      <c r="J39" s="0">
        <v>15.501775</v>
      </c>
      <c r="K39" s="0">
        <v>18.154266</v>
      </c>
      <c r="L39" s="0">
        <v>10</v>
      </c>
      <c r="M39" s="0">
        <v>96.127409</v>
      </c>
      <c r="N39" s="0">
        <v>10</v>
      </c>
      <c r="O39" s="0">
        <v>5.860398</v>
      </c>
      <c r="P39" s="0">
        <v>80.127649</v>
      </c>
      <c r="Q39" s="0">
        <v>4.067044</v>
      </c>
      <c r="R39" s="0">
        <v>3.1095</v>
      </c>
      <c r="S39" s="0">
        <v>1.4735</v>
      </c>
      <c r="T39" s="0">
        <v>5.7045</v>
      </c>
      <c r="U39" s="0">
        <v>4.472311</v>
      </c>
      <c r="V39" s="0">
        <v>2658.096779</v>
      </c>
      <c r="W39" s="0">
        <v>2301.338127</v>
      </c>
      <c r="X39" s="0">
        <v>356.758652</v>
      </c>
      <c r="Y39" s="0">
        <v>13.421582</v>
      </c>
      <c r="Z39" s="0">
        <v>84.541173</v>
      </c>
      <c r="AA39" s="0">
        <v>13.70965</v>
      </c>
      <c r="AB39" s="0">
        <v>98.250823</v>
      </c>
      <c r="AC39" s="0">
        <v>79.75405</v>
      </c>
      <c r="AD39" s="0">
        <v>95.206914</v>
      </c>
      <c r="AE39" s="0">
        <v>19.464429</v>
      </c>
      <c r="AF39" s="0">
        <v>29.230289</v>
      </c>
      <c r="AG39" s="0">
        <v>10.865794</v>
      </c>
      <c r="AH39" s="0">
        <v>16.711233</v>
      </c>
      <c r="AI39" s="0">
        <v>11.998225</v>
      </c>
      <c r="AJ39" s="0">
        <v>19.423574</v>
      </c>
      <c r="AK39" s="0">
        <v>14.937095</v>
      </c>
      <c r="AL39" s="0">
        <v>21.146912</v>
      </c>
      <c r="AM39" s="0">
        <v>91.897631</v>
      </c>
      <c r="AN39" s="0">
        <v>100.733489</v>
      </c>
      <c r="AO39" s="0">
        <v>4.098317</v>
      </c>
      <c r="AP39" s="0">
        <v>7.508389</v>
      </c>
      <c r="AQ39" s="0">
        <v>69.252322</v>
      </c>
      <c r="AR39" s="0">
        <v>91.47696</v>
      </c>
      <c r="AS39" s="0">
        <v>2557.612202</v>
      </c>
      <c r="AT39" s="0">
        <v>2795.500655</v>
      </c>
      <c r="AU39" s="0">
        <v>2204.987903</v>
      </c>
      <c r="AV39" s="0">
        <v>2414.11226</v>
      </c>
      <c r="AW39" s="0">
        <v>311.738223</v>
      </c>
      <c r="AX39" s="0">
        <v>402.235236</v>
      </c>
      <c r="AY39" s="0">
        <v>11.938196</v>
      </c>
      <c r="AZ39" s="0">
        <v>14.653128</v>
      </c>
      <c r="BA39" s="0">
        <v>0.14042</v>
      </c>
      <c r="BB39" s="0">
        <v>0.221724</v>
      </c>
      <c r="BC39" s="0">
        <v>0.149748</v>
      </c>
      <c r="BD39" s="0">
        <v>0.235752</v>
      </c>
      <c r="BE39" s="0">
        <v>0.177246</v>
      </c>
      <c r="BF39" s="0">
        <v>0.266492</v>
      </c>
      <c r="BG39" s="0">
        <v>1.078052</v>
      </c>
      <c r="BH39" s="0">
        <v>2.209644</v>
      </c>
      <c r="BI39" s="0">
        <v>3.664669</v>
      </c>
      <c r="BJ39" s="0">
        <v>4.416856</v>
      </c>
      <c r="BK39" s="0">
        <v>2.7785</v>
      </c>
      <c r="BL39" s="0">
        <v>3.3635</v>
      </c>
      <c r="BM39" s="0">
        <v>1.3215</v>
      </c>
      <c r="BN39" s="0">
        <v>1.5865</v>
      </c>
      <c r="BO39" s="0">
        <v>5.1195</v>
      </c>
      <c r="BP39" s="0">
        <v>6.1805</v>
      </c>
      <c r="BQ39" s="0">
        <v>4.036299</v>
      </c>
      <c r="BR39" s="0">
        <v>4.820865</v>
      </c>
      <c r="BS39" s="0">
        <v>74.796288</v>
      </c>
      <c r="BT39" s="0">
        <v>94.594007</v>
      </c>
      <c r="BU39" s="0">
        <v>9.292258</v>
      </c>
      <c r="BV39" s="0">
        <v>18.084745</v>
      </c>
      <c r="BW39" s="0">
        <v>84.088546000000008</v>
      </c>
      <c r="BX39" s="0">
        <v>112.678752</v>
      </c>
    </row>
    <row r="40">
      <c r="A40" s="0">
        <v>2018</v>
      </c>
      <c r="B40" s="0">
        <v>69</v>
      </c>
      <c r="C40" s="0">
        <v>82.327735</v>
      </c>
      <c r="D40" s="0">
        <v>16</v>
      </c>
      <c r="E40" s="0">
        <v>11</v>
      </c>
      <c r="F40" s="0">
        <v>17</v>
      </c>
      <c r="G40" s="0">
        <v>10</v>
      </c>
      <c r="H40" s="0">
        <v>21.257809</v>
      </c>
      <c r="I40" s="0">
        <v>11.762142</v>
      </c>
      <c r="J40" s="0">
        <v>13.204193</v>
      </c>
      <c r="K40" s="0">
        <v>17.513927</v>
      </c>
      <c r="L40" s="0">
        <v>4</v>
      </c>
      <c r="M40" s="0">
        <v>95.867676</v>
      </c>
      <c r="N40" s="0">
        <v>4</v>
      </c>
      <c r="O40" s="0">
        <v>5.605984</v>
      </c>
      <c r="P40" s="0">
        <v>74.262193</v>
      </c>
      <c r="Q40" s="0">
        <v>4.177787</v>
      </c>
      <c r="R40" s="0">
        <v>3.2015</v>
      </c>
      <c r="S40" s="0">
        <v>1.5125</v>
      </c>
      <c r="T40" s="0">
        <v>5.8675</v>
      </c>
      <c r="U40" s="0">
        <v>4.591869</v>
      </c>
      <c r="V40" s="0">
        <v>2718.725074</v>
      </c>
      <c r="W40" s="0">
        <v>2370.279142</v>
      </c>
      <c r="X40" s="0">
        <v>348.445932</v>
      </c>
      <c r="Y40" s="0">
        <v>12.81652</v>
      </c>
      <c r="Z40" s="0">
        <v>85.780023</v>
      </c>
      <c r="AA40" s="0">
        <v>13.127676</v>
      </c>
      <c r="AB40" s="0">
        <v>98.907699</v>
      </c>
      <c r="AC40" s="0">
        <v>74.225265</v>
      </c>
      <c r="AD40" s="0">
        <v>90.93026</v>
      </c>
      <c r="AE40" s="0">
        <v>16.458055</v>
      </c>
      <c r="AF40" s="0">
        <v>27.380781</v>
      </c>
      <c r="AG40" s="0">
        <v>8.875081</v>
      </c>
      <c r="AH40" s="0">
        <v>15.443992</v>
      </c>
      <c r="AI40" s="0">
        <v>9.514238</v>
      </c>
      <c r="AJ40" s="0">
        <v>17.203753</v>
      </c>
      <c r="AK40" s="0">
        <v>13.93565</v>
      </c>
      <c r="AL40" s="0">
        <v>20.865206</v>
      </c>
      <c r="AM40" s="0">
        <v>91.453088</v>
      </c>
      <c r="AN40" s="0">
        <v>100.721591</v>
      </c>
      <c r="AO40" s="0">
        <v>3.725264</v>
      </c>
      <c r="AP40" s="0">
        <v>7.448944</v>
      </c>
      <c r="AQ40" s="0">
        <v>62.033084</v>
      </c>
      <c r="AR40" s="0">
        <v>86.236729</v>
      </c>
      <c r="AS40" s="0">
        <v>2613.976676</v>
      </c>
      <c r="AT40" s="0">
        <v>2857.998852</v>
      </c>
      <c r="AU40" s="0">
        <v>2274.874382</v>
      </c>
      <c r="AV40" s="0">
        <v>2482.246557</v>
      </c>
      <c r="AW40" s="0">
        <v>299.411477</v>
      </c>
      <c r="AX40" s="0">
        <v>387.790361</v>
      </c>
      <c r="AY40" s="0">
        <v>11.235943</v>
      </c>
      <c r="AZ40" s="0">
        <v>13.9225</v>
      </c>
      <c r="BA40" s="0">
        <v>0.131982</v>
      </c>
      <c r="BB40" s="0">
        <v>0.223164</v>
      </c>
      <c r="BC40" s="0">
        <v>0.135669</v>
      </c>
      <c r="BD40" s="0">
        <v>0.23898</v>
      </c>
      <c r="BE40" s="0">
        <v>0.138816</v>
      </c>
      <c r="BF40" s="0">
        <v>0.257514</v>
      </c>
      <c r="BG40" s="0">
        <v>1.074584</v>
      </c>
      <c r="BH40" s="0">
        <v>2.520712</v>
      </c>
      <c r="BI40" s="0">
        <v>3.715763</v>
      </c>
      <c r="BJ40" s="0">
        <v>4.570726</v>
      </c>
      <c r="BK40" s="0">
        <v>2.8195</v>
      </c>
      <c r="BL40" s="0">
        <v>3.5165</v>
      </c>
      <c r="BM40" s="0">
        <v>1.3365</v>
      </c>
      <c r="BN40" s="0">
        <v>1.6595</v>
      </c>
      <c r="BO40" s="0">
        <v>5.1965</v>
      </c>
      <c r="BP40" s="0">
        <v>6.4325</v>
      </c>
      <c r="BQ40" s="0">
        <v>4.14705</v>
      </c>
      <c r="BR40" s="0">
        <v>4.980006</v>
      </c>
      <c r="BS40" s="0">
        <v>75.162306</v>
      </c>
      <c r="BT40" s="0">
        <v>96.428163</v>
      </c>
      <c r="BU40" s="0">
        <v>8.413306</v>
      </c>
      <c r="BV40" s="0">
        <v>17.924558</v>
      </c>
      <c r="BW40" s="0">
        <v>83.575612</v>
      </c>
      <c r="BX40" s="0">
        <v>114.352721</v>
      </c>
    </row>
    <row r="41">
      <c r="A41" s="0">
        <v>2019</v>
      </c>
      <c r="B41" s="0">
        <v>88.4</v>
      </c>
      <c r="C41" s="0">
        <v>77.858785</v>
      </c>
      <c r="D41" s="0">
        <v>17</v>
      </c>
      <c r="E41" s="0">
        <v>13</v>
      </c>
      <c r="F41" s="0">
        <v>15</v>
      </c>
      <c r="G41" s="0">
        <v>21</v>
      </c>
      <c r="H41" s="0">
        <v>18.731788</v>
      </c>
      <c r="I41" s="0">
        <v>10.213836</v>
      </c>
      <c r="J41" s="0">
        <v>10.980422</v>
      </c>
      <c r="K41" s="0">
        <v>16.760644</v>
      </c>
      <c r="L41" s="0">
        <v>4</v>
      </c>
      <c r="M41" s="0">
        <v>95.207765</v>
      </c>
      <c r="N41" s="0">
        <v>4</v>
      </c>
      <c r="O41" s="0">
        <v>5.368531</v>
      </c>
      <c r="P41" s="0">
        <v>67.773651</v>
      </c>
      <c r="Q41" s="0">
        <v>4.298406</v>
      </c>
      <c r="R41" s="0">
        <v>3.3015</v>
      </c>
      <c r="S41" s="0">
        <v>1.5545</v>
      </c>
      <c r="T41" s="0">
        <v>6.0465</v>
      </c>
      <c r="U41" s="0">
        <v>4.735618</v>
      </c>
      <c r="V41" s="0">
        <v>2773.012619</v>
      </c>
      <c r="W41" s="0">
        <v>2434.888528</v>
      </c>
      <c r="X41" s="0">
        <v>338.12409</v>
      </c>
      <c r="Y41" s="0">
        <v>12.193384</v>
      </c>
      <c r="Z41" s="0">
        <v>86.772123</v>
      </c>
      <c r="AA41" s="0">
        <v>12.568978</v>
      </c>
      <c r="AB41" s="0">
        <v>99.341101</v>
      </c>
      <c r="AC41" s="0">
        <v>68.774388</v>
      </c>
      <c r="AD41" s="0">
        <v>86.887105</v>
      </c>
      <c r="AE41" s="0">
        <v>13.608567</v>
      </c>
      <c r="AF41" s="0">
        <v>23.529983</v>
      </c>
      <c r="AG41" s="0">
        <v>6.886557</v>
      </c>
      <c r="AH41" s="0">
        <v>13.838748</v>
      </c>
      <c r="AI41" s="0">
        <v>6.148286</v>
      </c>
      <c r="AJ41" s="0">
        <v>15.234966</v>
      </c>
      <c r="AK41" s="0">
        <v>12.833059</v>
      </c>
      <c r="AL41" s="0">
        <v>20.023765</v>
      </c>
      <c r="AM41" s="0">
        <v>90.658592</v>
      </c>
      <c r="AN41" s="0">
        <v>100.613791</v>
      </c>
      <c r="AO41" s="0">
        <v>3.370713</v>
      </c>
      <c r="AP41" s="0">
        <v>7.468214</v>
      </c>
      <c r="AQ41" s="0">
        <v>54.05093</v>
      </c>
      <c r="AR41" s="0">
        <v>81.336095</v>
      </c>
      <c r="AS41" s="0">
        <v>2664.708813</v>
      </c>
      <c r="AT41" s="0">
        <v>2907.756993</v>
      </c>
      <c r="AU41" s="0">
        <v>2339.311162</v>
      </c>
      <c r="AV41" s="0">
        <v>2549.502367</v>
      </c>
      <c r="AW41" s="0">
        <v>285.104724</v>
      </c>
      <c r="AX41" s="0">
        <v>377.538849</v>
      </c>
      <c r="AY41" s="0">
        <v>10.422428</v>
      </c>
      <c r="AZ41" s="0">
        <v>13.465545</v>
      </c>
      <c r="BA41" s="0">
        <v>0.122156</v>
      </c>
      <c r="BB41" s="0">
        <v>0.229576</v>
      </c>
      <c r="BC41" s="0">
        <v>0.122584</v>
      </c>
      <c r="BD41" s="0">
        <v>0.244676</v>
      </c>
      <c r="BE41" s="0">
        <v>0.100386</v>
      </c>
      <c r="BF41" s="0">
        <v>0.251056</v>
      </c>
      <c r="BG41" s="0">
        <v>1.064233</v>
      </c>
      <c r="BH41" s="0">
        <v>2.83178</v>
      </c>
      <c r="BI41" s="0">
        <v>3.757009</v>
      </c>
      <c r="BJ41" s="0">
        <v>4.813594</v>
      </c>
      <c r="BK41" s="0">
        <v>2.8535</v>
      </c>
      <c r="BL41" s="0">
        <v>3.7355</v>
      </c>
      <c r="BM41" s="0">
        <v>1.3495</v>
      </c>
      <c r="BN41" s="0">
        <v>1.7525</v>
      </c>
      <c r="BO41" s="0">
        <v>5.2595</v>
      </c>
      <c r="BP41" s="0">
        <v>6.7805</v>
      </c>
      <c r="BQ41" s="0">
        <v>4.290047</v>
      </c>
      <c r="BR41" s="0">
        <v>5.167475</v>
      </c>
      <c r="BS41" s="0">
        <v>72.198703</v>
      </c>
      <c r="BT41" s="0">
        <v>99.202507</v>
      </c>
      <c r="BU41" s="0">
        <v>7.851108</v>
      </c>
      <c r="BV41" s="0">
        <v>17.93552</v>
      </c>
      <c r="BW41" s="0">
        <v>80.049810999999991</v>
      </c>
      <c r="BX41" s="0">
        <v>117.138027</v>
      </c>
    </row>
    <row r="42">
      <c r="A42" s="0">
        <v>2020</v>
      </c>
      <c r="B42" s="0">
        <v>72</v>
      </c>
      <c r="C42" s="0">
        <v>69.694874</v>
      </c>
      <c r="D42" s="0">
        <v>18</v>
      </c>
      <c r="E42" s="0">
        <v>13</v>
      </c>
      <c r="F42" s="0">
        <v>4</v>
      </c>
      <c r="G42" s="0">
        <v>18</v>
      </c>
      <c r="H42" s="0">
        <v>16.515534</v>
      </c>
      <c r="I42" s="0">
        <v>10.375105</v>
      </c>
      <c r="J42" s="0">
        <v>9.459892</v>
      </c>
      <c r="K42" s="0">
        <v>15.255494</v>
      </c>
      <c r="L42" s="0">
        <v>6</v>
      </c>
      <c r="M42" s="0">
        <v>94.041301</v>
      </c>
      <c r="N42" s="0">
        <v>6</v>
      </c>
      <c r="O42" s="0">
        <v>5.430767</v>
      </c>
      <c r="P42" s="0">
        <v>60.654944</v>
      </c>
      <c r="Q42" s="0">
        <v>4.430305</v>
      </c>
      <c r="R42" s="0">
        <v>3.4115</v>
      </c>
      <c r="S42" s="0">
        <v>1.6015</v>
      </c>
      <c r="T42" s="0">
        <v>6.2415</v>
      </c>
      <c r="U42" s="0">
        <v>4.908498</v>
      </c>
      <c r="V42" s="0">
        <v>2821.532903</v>
      </c>
      <c r="W42" s="0">
        <v>2492.688194</v>
      </c>
      <c r="X42" s="0">
        <v>328.844709</v>
      </c>
      <c r="Y42" s="0">
        <v>11.654825</v>
      </c>
      <c r="Z42" s="0">
        <v>87.585414</v>
      </c>
      <c r="AA42" s="0">
        <v>14.352481</v>
      </c>
      <c r="AB42" s="0">
        <v>101.937895</v>
      </c>
      <c r="AC42" s="0">
        <v>63.438795</v>
      </c>
      <c r="AD42" s="0">
        <v>77.972292</v>
      </c>
      <c r="AE42" s="0">
        <v>11.920273</v>
      </c>
      <c r="AF42" s="0">
        <v>20.949305</v>
      </c>
      <c r="AG42" s="0">
        <v>7.105831</v>
      </c>
      <c r="AH42" s="0">
        <v>13.799479</v>
      </c>
      <c r="AI42" s="0">
        <v>6.104351</v>
      </c>
      <c r="AJ42" s="0">
        <v>12.299836</v>
      </c>
      <c r="AK42" s="0">
        <v>11.615837</v>
      </c>
      <c r="AL42" s="0">
        <v>18.011779</v>
      </c>
      <c r="AM42" s="0">
        <v>89.080568</v>
      </c>
      <c r="AN42" s="0">
        <v>99.22776</v>
      </c>
      <c r="AO42" s="0">
        <v>3.553784</v>
      </c>
      <c r="AP42" s="0">
        <v>7.473866</v>
      </c>
      <c r="AQ42" s="0">
        <v>43.678547</v>
      </c>
      <c r="AR42" s="0">
        <v>76.775067</v>
      </c>
      <c r="AS42" s="0">
        <v>2695.69015</v>
      </c>
      <c r="AT42" s="0">
        <v>2960.132778</v>
      </c>
      <c r="AU42" s="0">
        <v>2396.08587</v>
      </c>
      <c r="AV42" s="0">
        <v>2612.178178</v>
      </c>
      <c r="AW42" s="0">
        <v>267.548987</v>
      </c>
      <c r="AX42" s="0">
        <v>382.144591</v>
      </c>
      <c r="AY42" s="0">
        <v>9.66531</v>
      </c>
      <c r="AZ42" s="0">
        <v>13.386147</v>
      </c>
      <c r="BA42" s="0">
        <v>0.105204</v>
      </c>
      <c r="BB42" s="0">
        <v>0.230636</v>
      </c>
      <c r="BC42" s="0">
        <v>0.102151</v>
      </c>
      <c r="BD42" s="0">
        <v>0.25953</v>
      </c>
      <c r="BE42" s="0">
        <v>0.067677</v>
      </c>
      <c r="BF42" s="0">
        <v>0.244598</v>
      </c>
      <c r="BG42" s="0">
        <v>1.064516</v>
      </c>
      <c r="BH42" s="0">
        <v>3.142848</v>
      </c>
      <c r="BI42" s="0">
        <v>3.777129</v>
      </c>
      <c r="BJ42" s="0">
        <v>5.17842</v>
      </c>
      <c r="BK42" s="0">
        <v>2.8735</v>
      </c>
      <c r="BL42" s="0">
        <v>4.0255</v>
      </c>
      <c r="BM42" s="0">
        <v>1.3525</v>
      </c>
      <c r="BN42" s="0">
        <v>1.8815</v>
      </c>
      <c r="BO42" s="0">
        <v>5.3045</v>
      </c>
      <c r="BP42" s="0">
        <v>7.3285</v>
      </c>
      <c r="BQ42" s="0">
        <v>4.484132</v>
      </c>
      <c r="BR42" s="0">
        <v>5.439466</v>
      </c>
      <c r="BS42" s="0">
        <v>71.953228</v>
      </c>
      <c r="BT42" s="0">
        <v>100.403773</v>
      </c>
      <c r="BU42" s="0">
        <v>10.138415</v>
      </c>
      <c r="BV42" s="0">
        <v>18.929181</v>
      </c>
      <c r="BW42" s="0">
        <v>82.091642999999991</v>
      </c>
      <c r="BX42" s="0">
        <v>119.332954</v>
      </c>
    </row>
    <row r="43">
      <c r="A43" s="0">
        <v>2021</v>
      </c>
      <c r="B43" s="0">
        <v>57.7</v>
      </c>
      <c r="C43" s="0">
        <v>59.94899</v>
      </c>
      <c r="D43" s="0">
        <v>10</v>
      </c>
      <c r="E43" s="0">
        <v>10</v>
      </c>
      <c r="F43" s="0">
        <v>7</v>
      </c>
      <c r="G43" s="0">
        <v>10.7</v>
      </c>
      <c r="H43" s="0">
        <v>12.041414</v>
      </c>
      <c r="I43" s="0">
        <v>10.2126</v>
      </c>
      <c r="J43" s="0">
        <v>6.918556</v>
      </c>
      <c r="K43" s="0">
        <v>11.231435</v>
      </c>
      <c r="L43" s="0">
        <v>8</v>
      </c>
      <c r="M43" s="0">
        <v>92.351173</v>
      </c>
      <c r="N43" s="0">
        <v>8</v>
      </c>
      <c r="O43" s="0">
        <v>6.684293</v>
      </c>
      <c r="P43" s="0">
        <v>52.898996</v>
      </c>
      <c r="Q43" s="0">
        <v>4.80828</v>
      </c>
      <c r="R43" s="0">
        <v>3.7355</v>
      </c>
      <c r="S43" s="0">
        <v>1.7695</v>
      </c>
      <c r="T43" s="0">
        <v>6.7875</v>
      </c>
      <c r="U43" s="0">
        <v>5.132168</v>
      </c>
      <c r="V43" s="0">
        <v>2853.666712</v>
      </c>
      <c r="W43" s="0">
        <v>2532.16672</v>
      </c>
      <c r="X43" s="0">
        <v>321.499992</v>
      </c>
      <c r="Y43" s="0">
        <v>11.266207</v>
      </c>
      <c r="Z43" s="0">
        <v>87.998293</v>
      </c>
      <c r="AA43" s="0">
        <v>18.875214</v>
      </c>
      <c r="AB43" s="0">
        <v>106.873507</v>
      </c>
      <c r="AC43" s="0">
        <v>47.633382</v>
      </c>
      <c r="AD43" s="0">
        <v>71.96782</v>
      </c>
      <c r="AE43" s="0">
        <v>7.149906</v>
      </c>
      <c r="AF43" s="0">
        <v>18.782456</v>
      </c>
      <c r="AG43" s="0">
        <v>4.552278</v>
      </c>
      <c r="AH43" s="0">
        <v>17.241004</v>
      </c>
      <c r="AI43" s="0">
        <v>3.071527</v>
      </c>
      <c r="AJ43" s="0">
        <v>10.553362</v>
      </c>
      <c r="AK43" s="0">
        <v>6.247863</v>
      </c>
      <c r="AL43" s="0">
        <v>16.190735</v>
      </c>
      <c r="AM43" s="0">
        <v>87.076837</v>
      </c>
      <c r="AN43" s="0">
        <v>97.130263</v>
      </c>
      <c r="AO43" s="0">
        <v>4.313938</v>
      </c>
      <c r="AP43" s="0">
        <v>8.493574</v>
      </c>
      <c r="AQ43" s="0">
        <v>32.365999</v>
      </c>
      <c r="AR43" s="0">
        <v>73.580344</v>
      </c>
      <c r="AS43" s="0">
        <v>2719.031798</v>
      </c>
      <c r="AT43" s="0">
        <v>2995.815164</v>
      </c>
      <c r="AU43" s="0">
        <v>2430.269095</v>
      </c>
      <c r="AV43" s="0">
        <v>2653.389954</v>
      </c>
      <c r="AW43" s="0">
        <v>246.321068</v>
      </c>
      <c r="AX43" s="0">
        <v>395.929871</v>
      </c>
      <c r="AY43" s="0">
        <v>8.888045</v>
      </c>
      <c r="AZ43" s="0">
        <v>13.406141</v>
      </c>
      <c r="BA43" s="0">
        <v>0.085978</v>
      </c>
      <c r="BB43" s="0">
        <v>0.188394</v>
      </c>
      <c r="BC43" s="0">
        <v>0.090489</v>
      </c>
      <c r="BD43" s="0">
        <v>0.283069</v>
      </c>
      <c r="BE43" s="0">
        <v>0.068095</v>
      </c>
      <c r="BF43" s="0">
        <v>0.173519</v>
      </c>
      <c r="BG43" s="0">
        <v>0.801831</v>
      </c>
      <c r="BH43" s="0">
        <v>1.896675</v>
      </c>
      <c r="BI43" s="0">
        <v>4.08005</v>
      </c>
      <c r="BJ43" s="0">
        <v>5.536163</v>
      </c>
      <c r="BK43" s="0">
        <v>3.1165</v>
      </c>
      <c r="BL43" s="0">
        <v>4.3535</v>
      </c>
      <c r="BM43" s="0">
        <v>1.4795</v>
      </c>
      <c r="BN43" s="0">
        <v>2.0745</v>
      </c>
      <c r="BO43" s="0">
        <v>5.7285</v>
      </c>
      <c r="BP43" s="0">
        <v>7.8115</v>
      </c>
      <c r="BQ43" s="0">
        <v>4.65872</v>
      </c>
      <c r="BR43" s="0">
        <v>5.796029</v>
      </c>
      <c r="BS43" s="0">
        <v>70.097773</v>
      </c>
      <c r="BT43" s="0">
        <v>102.517169</v>
      </c>
      <c r="BU43" s="0">
        <v>12.007019</v>
      </c>
      <c r="BV43" s="0">
        <v>25.69144</v>
      </c>
      <c r="BW43" s="0">
        <v>82.104792</v>
      </c>
      <c r="BX43" s="0">
        <v>128.208609</v>
      </c>
    </row>
    <row r="44">
      <c r="A44" s="0">
        <v>2022</v>
      </c>
      <c r="B44" s="0">
        <v>80.5</v>
      </c>
      <c r="C44" s="0">
        <v>74.023384</v>
      </c>
      <c r="D44" s="0">
        <v>18</v>
      </c>
      <c r="E44" s="0">
        <v>12</v>
      </c>
      <c r="F44" s="0">
        <v>14.5</v>
      </c>
      <c r="G44" s="0">
        <v>15</v>
      </c>
      <c r="H44" s="0">
        <v>15.627596</v>
      </c>
      <c r="I44" s="0">
        <v>13.178028</v>
      </c>
      <c r="J44" s="0">
        <v>11.574659</v>
      </c>
      <c r="K44" s="0">
        <v>13.612397</v>
      </c>
      <c r="L44" s="0">
        <v>8</v>
      </c>
      <c r="M44" s="0">
        <v>90.395766</v>
      </c>
      <c r="N44" s="0">
        <v>8</v>
      </c>
      <c r="O44" s="0">
        <v>8.233983</v>
      </c>
      <c r="P44" s="0">
        <v>44.498727</v>
      </c>
      <c r="Q44" s="0">
        <v>5.337316</v>
      </c>
      <c r="R44" s="0">
        <v>4.2105</v>
      </c>
      <c r="S44" s="0">
        <v>2.0195</v>
      </c>
      <c r="T44" s="0">
        <v>7.5805</v>
      </c>
      <c r="U44" s="0">
        <v>5.370953</v>
      </c>
      <c r="V44" s="0">
        <v>2879.582702</v>
      </c>
      <c r="W44" s="0">
        <v>2587.970417</v>
      </c>
      <c r="X44" s="0">
        <v>291.612285</v>
      </c>
      <c r="Y44" s="0">
        <v>10.126894</v>
      </c>
      <c r="Z44" s="0">
        <v>80.44625</v>
      </c>
      <c r="AA44" s="0">
        <v>19.180025</v>
      </c>
      <c r="AB44" s="0">
        <v>99.626275</v>
      </c>
      <c r="AC44" s="0">
        <v>63.817902</v>
      </c>
      <c r="AD44" s="0">
        <v>85.258963</v>
      </c>
      <c r="AE44" s="0">
        <v>10.017188</v>
      </c>
      <c r="AF44" s="0">
        <v>20.771845</v>
      </c>
      <c r="AG44" s="0">
        <v>9.011616</v>
      </c>
      <c r="AH44" s="0">
        <v>19.762679</v>
      </c>
      <c r="AI44" s="0">
        <v>7.535457</v>
      </c>
      <c r="AJ44" s="0">
        <v>17.67171</v>
      </c>
      <c r="AK44" s="0">
        <v>7.893447</v>
      </c>
      <c r="AL44" s="0">
        <v>20.264865</v>
      </c>
      <c r="AM44" s="0">
        <v>85.20148</v>
      </c>
      <c r="AN44" s="0">
        <v>95.064517</v>
      </c>
      <c r="AO44" s="0">
        <v>4.971337</v>
      </c>
      <c r="AP44" s="0">
        <v>12.13466</v>
      </c>
      <c r="AQ44" s="0">
        <v>20.11623</v>
      </c>
      <c r="AR44" s="0">
        <v>70.897199</v>
      </c>
      <c r="AS44" s="0">
        <v>2726.158701</v>
      </c>
      <c r="AT44" s="0">
        <v>3024.942414</v>
      </c>
      <c r="AU44" s="0">
        <v>2477.628518</v>
      </c>
      <c r="AV44" s="0">
        <v>2706.289671</v>
      </c>
      <c r="AW44" s="0">
        <v>200.494062</v>
      </c>
      <c r="AX44" s="0">
        <v>377.017101</v>
      </c>
      <c r="AY44" s="0">
        <v>7.098155</v>
      </c>
      <c r="AZ44" s="0">
        <v>12.790507</v>
      </c>
      <c r="BA44" s="0">
        <v>0.035254</v>
      </c>
      <c r="BB44" s="0">
        <v>0.179559</v>
      </c>
      <c r="BC44" s="0">
        <v>0.048875</v>
      </c>
      <c r="BD44" s="0">
        <v>0.414678</v>
      </c>
      <c r="BE44" s="0">
        <v>0.002914</v>
      </c>
      <c r="BF44" s="0">
        <v>0.189439</v>
      </c>
      <c r="BG44" s="0">
        <v>0.020344</v>
      </c>
      <c r="BH44" s="0">
        <v>1.508712</v>
      </c>
      <c r="BI44" s="0">
        <v>4.247741</v>
      </c>
      <c r="BJ44" s="0">
        <v>7.104069</v>
      </c>
      <c r="BK44" s="0">
        <v>3.2165</v>
      </c>
      <c r="BL44" s="0">
        <v>5.8535</v>
      </c>
      <c r="BM44" s="0">
        <v>1.5115</v>
      </c>
      <c r="BN44" s="0">
        <v>2.9295</v>
      </c>
      <c r="BO44" s="0">
        <v>5.9895</v>
      </c>
      <c r="BP44" s="0">
        <v>10.1375</v>
      </c>
      <c r="BQ44" s="0">
        <v>4.813322</v>
      </c>
      <c r="BR44" s="0">
        <v>6.175953</v>
      </c>
      <c r="BS44" s="0">
        <v>58.074182</v>
      </c>
      <c r="BT44" s="0">
        <v>100.568052</v>
      </c>
      <c r="BU44" s="0">
        <v>9.251649</v>
      </c>
      <c r="BV44" s="0">
        <v>28.083806</v>
      </c>
      <c r="BW44" s="0">
        <v>67.325831</v>
      </c>
      <c r="BX44" s="0">
        <v>128.651858</v>
      </c>
    </row>
    <row r="45">
      <c r="A45" s="0">
        <v>2023</v>
      </c>
      <c r="B45" s="0">
        <v>93</v>
      </c>
      <c r="C45" s="0">
        <v>95.444878</v>
      </c>
      <c r="D45" s="0">
        <v>23</v>
      </c>
      <c r="E45" s="0">
        <v>18</v>
      </c>
      <c r="F45" s="0">
        <v>19</v>
      </c>
      <c r="G45" s="0">
        <v>18</v>
      </c>
      <c r="H45" s="0">
        <v>24.431311</v>
      </c>
      <c r="I45" s="0">
        <v>17.336677</v>
      </c>
      <c r="J45" s="0">
        <v>21.098001</v>
      </c>
      <c r="K45" s="0">
        <v>18.223638</v>
      </c>
      <c r="L45" s="0">
        <v>8</v>
      </c>
      <c r="M45" s="0">
        <v>88.185003</v>
      </c>
      <c r="N45" s="0">
        <v>8</v>
      </c>
      <c r="O45" s="0">
        <v>7.077977</v>
      </c>
      <c r="P45" s="0">
        <v>35.447061</v>
      </c>
      <c r="Q45" s="0">
        <v>3.606613</v>
      </c>
      <c r="R45" s="0">
        <v>2.7355</v>
      </c>
      <c r="S45" s="0">
        <v>1.3135</v>
      </c>
      <c r="T45" s="0">
        <v>5.0295</v>
      </c>
      <c r="U45" s="0">
        <v>5.625995</v>
      </c>
      <c r="V45" s="0">
        <v>2892.611716</v>
      </c>
      <c r="W45" s="0">
        <v>2661.309329</v>
      </c>
      <c r="X45" s="0">
        <v>231.302387</v>
      </c>
      <c r="Y45" s="0">
        <v>7.996316</v>
      </c>
      <c r="Z45" s="0">
        <v>62.567532</v>
      </c>
      <c r="AA45" s="0">
        <v>13.592727</v>
      </c>
      <c r="AB45" s="0">
        <v>76.160259</v>
      </c>
      <c r="AC45" s="0">
        <v>77.390054</v>
      </c>
      <c r="AD45" s="0">
        <v>113.724828</v>
      </c>
      <c r="AE45" s="0">
        <v>15.5443</v>
      </c>
      <c r="AF45" s="0">
        <v>34.246908</v>
      </c>
      <c r="AG45" s="0">
        <v>10.586975</v>
      </c>
      <c r="AH45" s="0">
        <v>26.648355</v>
      </c>
      <c r="AI45" s="0">
        <v>14.147633</v>
      </c>
      <c r="AJ45" s="0">
        <v>29.231886</v>
      </c>
      <c r="AK45" s="0">
        <v>10.433199</v>
      </c>
      <c r="AL45" s="0">
        <v>24.80455</v>
      </c>
      <c r="AM45" s="0">
        <v>82.189777</v>
      </c>
      <c r="AN45" s="0">
        <v>94.46222</v>
      </c>
      <c r="AO45" s="0">
        <v>3.086789</v>
      </c>
      <c r="AP45" s="0">
        <v>11.026099</v>
      </c>
      <c r="AQ45" s="0">
        <v>6.918031</v>
      </c>
      <c r="AR45" s="0">
        <v>68.012952</v>
      </c>
      <c r="AS45" s="0">
        <v>2718.41685</v>
      </c>
      <c r="AT45" s="0">
        <v>3040.708319</v>
      </c>
      <c r="AU45" s="0">
        <v>2541.841253</v>
      </c>
      <c r="AV45" s="0">
        <v>2780.71635</v>
      </c>
      <c r="AW45" s="0">
        <v>118.288275</v>
      </c>
      <c r="AX45" s="0">
        <v>341.656007</v>
      </c>
      <c r="AY45" s="0">
        <v>4.166045</v>
      </c>
      <c r="AZ45" s="0">
        <v>11.436598</v>
      </c>
      <c r="BA45" s="0">
        <v>0.118962</v>
      </c>
      <c r="BB45" s="0">
        <v>0.358509</v>
      </c>
      <c r="BC45" s="0">
        <v>0.166865</v>
      </c>
      <c r="BD45" s="0">
        <v>0.568879</v>
      </c>
      <c r="BE45" s="0">
        <v>0.15351</v>
      </c>
      <c r="BF45" s="0">
        <v>0.429788</v>
      </c>
      <c r="BG45" s="0">
        <v>0.520181</v>
      </c>
      <c r="BH45" s="0">
        <v>2.689738</v>
      </c>
      <c r="BI45" s="0">
        <v>2.429631</v>
      </c>
      <c r="BJ45" s="0">
        <v>4.675189</v>
      </c>
      <c r="BK45" s="0">
        <v>1.8265</v>
      </c>
      <c r="BL45" s="0">
        <v>3.6105</v>
      </c>
      <c r="BM45" s="0">
        <v>0.8915</v>
      </c>
      <c r="BN45" s="0">
        <v>1.7295</v>
      </c>
      <c r="BO45" s="0">
        <v>3.3385</v>
      </c>
      <c r="BP45" s="0">
        <v>6.5715</v>
      </c>
      <c r="BQ45" s="0">
        <v>4.977457</v>
      </c>
      <c r="BR45" s="0">
        <v>6.548529</v>
      </c>
      <c r="BS45" s="0">
        <v>33.488034</v>
      </c>
      <c r="BT45" s="0">
        <v>87.732601</v>
      </c>
      <c r="BU45" s="0">
        <v>3.582064</v>
      </c>
      <c r="BV45" s="0">
        <v>23.729988</v>
      </c>
      <c r="BW45" s="0">
        <v>37.070098</v>
      </c>
      <c r="BX45" s="0">
        <v>111.46258900000001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B2"/>
  <sheetViews>
    <sheetView workbookViewId="0"/>
  </sheetViews>
  <sheetFormatPr defaultRowHeight="11.25" x14ac:dyDescent="0.2"/>
  <sheetData>
    <row r="1">
      <c r="A1" s="0" t="s">
        <v>0</v>
      </c>
      <c r="B1" s="0" t="s">
        <v>1</v>
      </c>
    </row>
    <row r="2">
      <c r="A2" s="0" t="s">
        <v>2</v>
      </c>
      <c r="B2" s="0" t="s">
        <v>3</v>
      </c>
    </row>
  </sheetData>
  <pageMargins left="0.7" right="0.7" top="0.75" bottom="0.75" header="0.3" footer="0.3"/>
  <headerFooter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7EE9C3B32F24C997F08FEDABFE4D4" ma:contentTypeVersion="17" ma:contentTypeDescription="Create a new document." ma:contentTypeScope="" ma:versionID="bffd40010f2224aa1b51dbc4600ae234">
  <xsd:schema xmlns:xsd="http://www.w3.org/2001/XMLSchema" xmlns:xs="http://www.w3.org/2001/XMLSchema" xmlns:p="http://schemas.microsoft.com/office/2006/metadata/properties" xmlns:ns2="e2d22f42-674e-4fc3-9806-bf5045c6d197" xmlns:ns3="32705bbd-d6e6-412c-a7e2-7411e947c69b" targetNamespace="http://schemas.microsoft.com/office/2006/metadata/properties" ma:root="true" ma:fieldsID="6ae51c3b0d193947b541212d098d27de" ns2:_="" ns3:_="">
    <xsd:import namespace="e2d22f42-674e-4fc3-9806-bf5045c6d197"/>
    <xsd:import namespace="32705bbd-d6e6-412c-a7e2-7411e947c6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d22f42-674e-4fc3-9806-bf5045c6d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05bbd-d6e6-412c-a7e2-7411e947c69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f8df80c-4e71-40a5-8a02-2342c67459ba}" ma:internalName="TaxCatchAll" ma:showField="CatchAllData" ma:web="32705bbd-d6e6-412c-a7e2-7411e947c6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2705bbd-d6e6-412c-a7e2-7411e947c69b" xsi:nil="true"/>
    <lcf76f155ced4ddcb4097134ff3c332f xmlns="e2d22f42-674e-4fc3-9806-bf5045c6d19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021FEEA-EC1A-4851-9B8E-B5B6E1BC9A2C}"/>
</file>

<file path=customXml/itemProps2.xml><?xml version="1.0" encoding="utf-8"?>
<ds:datastoreItem xmlns:ds="http://schemas.openxmlformats.org/officeDocument/2006/customXml" ds:itemID="{CBF374FC-E54C-4224-ACAA-8269C33EA6B6}"/>
</file>

<file path=customXml/itemProps3.xml><?xml version="1.0" encoding="utf-8"?>
<ds:datastoreItem xmlns:ds="http://schemas.openxmlformats.org/officeDocument/2006/customXml" ds:itemID="{C3507EE3-ECE9-4BF2-9661-D41A4ABE3E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GOODNESS OF FIT</vt:lpstr>
      <vt:lpstr>CHARTS</vt:lpstr>
      <vt:lpstr>DATA</vt:lpstr>
      <vt:lpstr>META INFO</vt:lpstr>
      <vt:lpstr>rngData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Lewandowski</cp:lastModifiedBy>
  <cp:lastPrinted>2015-09-04T19:12:25Z</cp:lastPrinted>
  <dcterms:created xsi:type="dcterms:W3CDTF">2006-09-16T00:00:00Z</dcterms:created>
  <dcterms:modified xsi:type="dcterms:W3CDTF">2017-10-09T13:45:39Z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0x010100DE67EE9C3B32F24C997F08FEDABFE4D4</vt:lpwstr>
  </property>
  <property fmtid="{D5CDD505-2E9C-101B-9397-08002B2CF9AE}" pid="3" name="MediaServiceImageTags">
    <vt:lpwstr/>
  </property>
</Properties>
</file>